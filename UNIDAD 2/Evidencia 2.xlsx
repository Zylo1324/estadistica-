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xr:revisionPtr revIDLastSave="0" documentId="8_{68DC028B-4E51-4792-AEA6-26B7146433AA}" xr6:coauthVersionLast="47" xr6:coauthVersionMax="47" xr10:uidLastSave="{00000000-0000-0000-0000-000000000000}"/>
  <bookViews>
    <workbookView xWindow="-120" yWindow="-120" windowWidth="29040" windowHeight="16440" activeTab="1" xr2:uid="{00000000-000D-0000-FFFF-FFFF00000000}"/>
  </bookViews>
  <sheets>
    <sheet name="Resumen" sheetId="1" r:id="rId1"/>
    <sheet name="Desarroll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5" i="2" l="1"/>
  <c r="M42" i="2"/>
  <c r="M44" i="2" s="1"/>
  <c r="F42" i="2"/>
  <c r="F44" i="2" s="1"/>
  <c r="F46" i="2" s="1"/>
  <c r="M41" i="2"/>
  <c r="F25" i="2"/>
  <c r="M22" i="2"/>
  <c r="M24" i="2" s="1"/>
  <c r="F22" i="2"/>
  <c r="F24" i="2" s="1"/>
  <c r="F26" i="2" s="1"/>
  <c r="M21" i="2"/>
  <c r="M23" i="2" l="1"/>
  <c r="M43" i="2"/>
</calcChain>
</file>

<file path=xl/sharedStrings.xml><?xml version="1.0" encoding="utf-8"?>
<sst xmlns="http://schemas.openxmlformats.org/spreadsheetml/2006/main" count="136" uniqueCount="68">
  <si>
    <t>Trabajo de hipótesis: Estimación y prueba de hipótesis de una media</t>
  </si>
  <si>
    <t>Desarrollo en Excel con fórmulas y respuestas finales resaltadas.</t>
  </si>
  <si>
    <t>Resumen rápido</t>
  </si>
  <si>
    <t>Ejercicio</t>
  </si>
  <si>
    <t>Inciso</t>
  </si>
  <si>
    <t>Resultado</t>
  </si>
  <si>
    <t>Ejercicio 1</t>
  </si>
  <si>
    <t>a</t>
  </si>
  <si>
    <t>No se rechaza H0: no es mayor a $650</t>
  </si>
  <si>
    <t>b</t>
  </si>
  <si>
    <t>IC 95%: $572.28 a $627.72</t>
  </si>
  <si>
    <t>Ejercicio 2</t>
  </si>
  <si>
    <t>No se rechaza H0: no es mayor a 11500 toneladas</t>
  </si>
  <si>
    <t>IC 92%: 11195.75 a 11604.25 toneladas</t>
  </si>
  <si>
    <t>Ejercicio 1.a</t>
  </si>
  <si>
    <t>Ejercicio 1.b</t>
  </si>
  <si>
    <t>Compruebe si el salario básico mensual promedio de los trabajadores no calificados de esta empresa es mayor a los $650 mensuales. Use α = 5%.</t>
  </si>
  <si>
    <t>Determine un intervalo de 95% de confianza para el verdadero salario básico promedio.</t>
  </si>
  <si>
    <t>Hipótesis nula</t>
  </si>
  <si>
    <t>H0:</t>
  </si>
  <si>
    <t>μ ≤ 650</t>
  </si>
  <si>
    <t>Nivel de confianza</t>
  </si>
  <si>
    <t>NC</t>
  </si>
  <si>
    <t>Hipótesis alternativa</t>
  </si>
  <si>
    <t>H1:</t>
  </si>
  <si>
    <t>μ &gt; 650</t>
  </si>
  <si>
    <t>Media muestral</t>
  </si>
  <si>
    <t>x̄</t>
  </si>
  <si>
    <t>Nivel de significancia</t>
  </si>
  <si>
    <t>α</t>
  </si>
  <si>
    <t>Desv. estándar</t>
  </si>
  <si>
    <t>σ</t>
  </si>
  <si>
    <t>Tamaño de muestra</t>
  </si>
  <si>
    <t>n</t>
  </si>
  <si>
    <t>Media hipotética</t>
  </si>
  <si>
    <t>µ0</t>
  </si>
  <si>
    <t>Valor Z</t>
  </si>
  <si>
    <t>Z</t>
  </si>
  <si>
    <t>Error</t>
  </si>
  <si>
    <t>E</t>
  </si>
  <si>
    <t>Límite inferior</t>
  </si>
  <si>
    <t>LI</t>
  </si>
  <si>
    <t>Valor Z calculado</t>
  </si>
  <si>
    <t>Zc</t>
  </si>
  <si>
    <t>Límite superior</t>
  </si>
  <si>
    <t>LS</t>
  </si>
  <si>
    <t>Valor crítico</t>
  </si>
  <si>
    <t>Zt</t>
  </si>
  <si>
    <t>Respuesta final</t>
  </si>
  <si>
    <t>El verdadero salario básico mensual promedio se encuentra entre $572.28 y $627.72 mensuales, con una confianza de 95%.</t>
  </si>
  <si>
    <t>p-valor</t>
  </si>
  <si>
    <t>p</t>
  </si>
  <si>
    <t>Decisión</t>
  </si>
  <si>
    <t>No rechazar H0</t>
  </si>
  <si>
    <r>
      <rPr>
        <sz val="11"/>
        <rFont val="Calibri"/>
      </rPr>
      <t xml:space="preserve">El salario básico mensual promedio </t>
    </r>
    <r>
      <rPr>
        <sz val="11"/>
        <color rgb="FFFF0000"/>
        <rFont val="Calibri"/>
      </rPr>
      <t>NO</t>
    </r>
    <r>
      <rPr>
        <sz val="11"/>
        <rFont val="Calibri"/>
      </rPr>
      <t xml:space="preserve"> es mayor a $650 mensuales.</t>
    </r>
  </si>
  <si>
    <t>Ejercicio 2.a</t>
  </si>
  <si>
    <t>Ejercicio 2.b</t>
  </si>
  <si>
    <t>Si sus operarios refieren que el gasto promedio semanal es de más de 11500 toneladas, compruebe esta afirmación con α = 3%.</t>
  </si>
  <si>
    <t>Calcule el intervalo de confianza del 92% para el consumo medio semanal durante el año pasado.</t>
  </si>
  <si>
    <t>μ ≤ 11500</t>
  </si>
  <si>
    <t>μ &gt; 11500</t>
  </si>
  <si>
    <t>s</t>
  </si>
  <si>
    <t>El verdadero consumo medio semanal de carbón se encuentra entre 11195.75 y 11604.25 toneladas, con una confianza de 92%.</t>
  </si>
  <si>
    <r>
      <rPr>
        <sz val="11"/>
        <rFont val="Calibri"/>
      </rPr>
      <t xml:space="preserve">El consumo promedio semanal de carbón </t>
    </r>
    <r>
      <rPr>
        <sz val="11"/>
        <color rgb="FFFF0000"/>
        <rFont val="Calibri"/>
      </rPr>
      <t>NO</t>
    </r>
    <r>
      <rPr>
        <sz val="11"/>
        <rFont val="Calibri"/>
      </rPr>
      <t xml:space="preserve"> es mayor a 11500 toneladas.</t>
    </r>
  </si>
  <si>
    <t>Ejemplo 1</t>
  </si>
  <si>
    <t>El salario básico mensual promedio de los trabajadores no calificados de una empresa sigue una distribución normal con una varianza de $10000. Se ha tomado una muestra aleatoria de 50 trabajadores no calificados y se encontró que tienen un ingreso promedio de $600 mensuales.</t>
  </si>
  <si>
    <t>Ejemplo 2</t>
  </si>
  <si>
    <t>El administrador de una empresa generadora de energía que importa carbón, desea estimar un intervalo de confianza de la cantidad de carbón que se consumió por término medio semanalmente durante año pasado. Para ello toma una muestra aleatoria de 36 semanas, resultando que el consumo medio fue de 11400 toneladas, la desviación estándar 700 toneladas. Se conoce que el consumo sigue una distribución aproximadamente 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</si>
</sst>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font>
      <sz val="11"/>
      <color theme="1"/>
      <name val="Calibri"/>
      <family val="2"/>
      <scheme val="minor"/>
    </font>
    <font>
      <b/>
      <sz val="14"/>
      <name val="Calibri"/>
    </font>
    <font>
      <i/>
      <sz val="11"/>
      <name val="Calibri"/>
    </font>
    <font>
      <b/>
      <sz val="11"/>
      <name val="Calibri"/>
    </font>
    <font>
      <sz val="11"/>
      <name val="Calibri"/>
    </font>
    <font>
      <b/>
      <sz val="11"/>
      <color rgb="FFFF0000"/>
      <name val="Calibri"/>
    </font>
    <font>
      <sz val="11"/>
      <color rgb="FFFF0000"/>
      <name val="Calibri"/>
    </font>
    <font>
      <b/>
      <sz val="24"/>
      <color rgb="FFFF0000"/>
      <name val="Calibri"/>
    </font>
  </fonts>
  <fills count="7">
    <fill>
      <patternFill patternType="none"/>
    </fill>
    <fill>
      <patternFill patternType="gray125"/>
    </fill>
    <fill>
      <patternFill patternType="solid">
        <fgColor rgb="FFFFF2CC"/>
      </patternFill>
    </fill>
    <fill>
      <patternFill patternType="solid">
        <fgColor rgb="FFDDEBF7"/>
      </patternFill>
    </fill>
    <fill>
      <patternFill patternType="solid">
        <fgColor rgb="FFEDEDED"/>
      </patternFill>
    </fill>
    <fill>
      <patternFill patternType="solid">
        <fgColor rgb="FFE2F0D9"/>
      </patternFill>
    </fill>
    <fill>
      <patternFill patternType="solid">
        <fgColor rgb="FFFCE4D6"/>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33">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0" borderId="3" xfId="0" applyFont="1" applyBorder="1" applyAlignment="1">
      <alignment horizontal="center" vertical="center" wrapText="1"/>
    </xf>
    <xf numFmtId="0" fontId="5" fillId="5" borderId="4" xfId="0" applyFont="1" applyFill="1" applyBorder="1" applyAlignment="1">
      <alignment horizontal="center" vertical="center" wrapText="1"/>
    </xf>
    <xf numFmtId="9" fontId="4" fillId="0" borderId="5" xfId="0" applyNumberFormat="1" applyFont="1" applyBorder="1" applyAlignment="1">
      <alignment horizontal="center" vertical="center" wrapText="1"/>
    </xf>
    <xf numFmtId="9" fontId="4" fillId="0" borderId="2" xfId="0" applyNumberFormat="1" applyFont="1" applyBorder="1" applyAlignment="1">
      <alignment horizontal="center" vertical="center" wrapText="1"/>
    </xf>
    <xf numFmtId="164" fontId="4" fillId="0" borderId="5"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164" fontId="4" fillId="0" borderId="6" xfId="0" applyNumberFormat="1" applyFont="1" applyBorder="1" applyAlignment="1">
      <alignment horizontal="center" vertical="center" wrapText="1"/>
    </xf>
    <xf numFmtId="164" fontId="4" fillId="0" borderId="7" xfId="0" applyNumberFormat="1" applyFont="1" applyBorder="1" applyAlignment="1">
      <alignment horizontal="center" vertical="center" wrapText="1"/>
    </xf>
    <xf numFmtId="2" fontId="4" fillId="0" borderId="5" xfId="0" applyNumberFormat="1" applyFont="1" applyBorder="1" applyAlignment="1">
      <alignment horizontal="center" vertical="center" wrapText="1"/>
    </xf>
    <xf numFmtId="2" fontId="4" fillId="0" borderId="2"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4" fillId="0" borderId="2" xfId="0" applyFont="1" applyBorder="1" applyAlignment="1">
      <alignment horizontal="center" vertical="center" wrapText="1"/>
    </xf>
    <xf numFmtId="0" fontId="5"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164" fontId="4" fillId="0" borderId="8" xfId="0" applyNumberFormat="1" applyFont="1" applyBorder="1" applyAlignment="1">
      <alignment horizontal="center" vertical="center" wrapText="1"/>
    </xf>
    <xf numFmtId="164" fontId="4" fillId="0" borderId="9" xfId="0" applyNumberFormat="1" applyFont="1" applyBorder="1" applyAlignment="1">
      <alignment horizontal="center" vertical="center" wrapText="1"/>
    </xf>
    <xf numFmtId="0" fontId="4" fillId="2" borderId="4"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7" fillId="0" borderId="0" xfId="0" applyFont="1"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10"/>
  <sheetViews>
    <sheetView workbookViewId="0">
      <pane ySplit="4" topLeftCell="A5" activePane="bottomLeft" state="frozen"/>
      <selection pane="bottomLeft"/>
    </sheetView>
  </sheetViews>
  <sheetFormatPr baseColWidth="10" defaultColWidth="9.140625" defaultRowHeight="18.95" customHeight="1"/>
  <cols>
    <col min="1" max="1" width="3" customWidth="1"/>
    <col min="2" max="2" width="5" customWidth="1"/>
    <col min="3" max="4" width="12" customWidth="1"/>
    <col min="5" max="5" width="13" customWidth="1"/>
    <col min="6" max="6" width="3" customWidth="1"/>
    <col min="7" max="7" width="12" customWidth="1"/>
    <col min="8" max="9" width="14" customWidth="1"/>
    <col min="10" max="10" width="3" customWidth="1"/>
    <col min="11" max="11" width="14" customWidth="1"/>
    <col min="12" max="12" width="10" customWidth="1"/>
    <col min="13" max="13" width="14" customWidth="1"/>
    <col min="14" max="14" width="24" customWidth="1"/>
    <col min="15" max="18" width="10" customWidth="1"/>
  </cols>
  <sheetData>
    <row r="2" spans="2:14">
      <c r="B2" s="4" t="s">
        <v>0</v>
      </c>
      <c r="C2" s="4"/>
      <c r="D2" s="4"/>
      <c r="E2" s="4"/>
      <c r="F2" s="4"/>
      <c r="G2" s="4"/>
      <c r="H2" s="4"/>
      <c r="I2" s="4"/>
      <c r="J2" s="4"/>
      <c r="K2" s="4"/>
      <c r="L2" s="4"/>
      <c r="M2" s="4"/>
      <c r="N2" s="4"/>
    </row>
    <row r="3" spans="2:14">
      <c r="B3" s="5" t="s">
        <v>1</v>
      </c>
      <c r="C3" s="5"/>
      <c r="D3" s="5"/>
      <c r="E3" s="5"/>
      <c r="F3" s="5"/>
      <c r="G3" s="5"/>
      <c r="H3" s="5"/>
      <c r="I3" s="5"/>
      <c r="J3" s="5"/>
      <c r="K3" s="5"/>
      <c r="L3" s="5"/>
      <c r="M3" s="5"/>
      <c r="N3" s="5"/>
    </row>
    <row r="5" spans="2:14">
      <c r="B5" s="6" t="s">
        <v>2</v>
      </c>
      <c r="C5" s="6"/>
      <c r="D5" s="6"/>
      <c r="E5" s="6"/>
      <c r="F5" s="6"/>
      <c r="G5" s="6"/>
      <c r="H5" s="6"/>
      <c r="I5" s="6"/>
      <c r="J5" s="6"/>
      <c r="K5" s="6"/>
      <c r="L5" s="6"/>
      <c r="M5" s="6"/>
      <c r="N5" s="6"/>
    </row>
    <row r="6" spans="2:14">
      <c r="B6" s="1" t="s">
        <v>3</v>
      </c>
      <c r="C6" s="7" t="s">
        <v>4</v>
      </c>
      <c r="D6" s="7"/>
      <c r="E6" s="7"/>
      <c r="F6" s="7" t="s">
        <v>5</v>
      </c>
      <c r="G6" s="7"/>
      <c r="H6" s="7"/>
      <c r="I6" s="7"/>
      <c r="J6" s="7"/>
      <c r="K6" s="7"/>
      <c r="L6" s="7"/>
      <c r="M6" s="7"/>
      <c r="N6" s="7"/>
    </row>
    <row r="7" spans="2:14">
      <c r="B7" s="2" t="s">
        <v>6</v>
      </c>
      <c r="C7" s="8" t="s">
        <v>7</v>
      </c>
      <c r="D7" s="8"/>
      <c r="E7" s="8"/>
      <c r="F7" s="9" t="s">
        <v>8</v>
      </c>
      <c r="G7" s="9"/>
      <c r="H7" s="9"/>
      <c r="I7" s="9"/>
      <c r="J7" s="9"/>
      <c r="K7" s="9"/>
      <c r="L7" s="9"/>
      <c r="M7" s="9"/>
      <c r="N7" s="9"/>
    </row>
    <row r="8" spans="2:14">
      <c r="B8" s="2" t="s">
        <v>6</v>
      </c>
      <c r="C8" s="8" t="s">
        <v>9</v>
      </c>
      <c r="D8" s="8"/>
      <c r="E8" s="8"/>
      <c r="F8" s="9" t="s">
        <v>10</v>
      </c>
      <c r="G8" s="9"/>
      <c r="H8" s="9"/>
      <c r="I8" s="9"/>
      <c r="J8" s="9"/>
      <c r="K8" s="9"/>
      <c r="L8" s="9"/>
      <c r="M8" s="9"/>
      <c r="N8" s="9"/>
    </row>
    <row r="9" spans="2:14">
      <c r="B9" s="2" t="s">
        <v>11</v>
      </c>
      <c r="C9" s="8" t="s">
        <v>7</v>
      </c>
      <c r="D9" s="8"/>
      <c r="E9" s="8"/>
      <c r="F9" s="9" t="s">
        <v>12</v>
      </c>
      <c r="G9" s="9"/>
      <c r="H9" s="9"/>
      <c r="I9" s="9"/>
      <c r="J9" s="9"/>
      <c r="K9" s="9"/>
      <c r="L9" s="9"/>
      <c r="M9" s="9"/>
      <c r="N9" s="9"/>
    </row>
    <row r="10" spans="2:14">
      <c r="B10" s="2" t="s">
        <v>11</v>
      </c>
      <c r="C10" s="8" t="s">
        <v>9</v>
      </c>
      <c r="D10" s="8"/>
      <c r="E10" s="8"/>
      <c r="F10" s="9" t="s">
        <v>13</v>
      </c>
      <c r="G10" s="9"/>
      <c r="H10" s="9"/>
      <c r="I10" s="9"/>
      <c r="J10" s="9"/>
      <c r="K10" s="9"/>
      <c r="L10" s="9"/>
      <c r="M10" s="9"/>
      <c r="N10" s="9"/>
    </row>
  </sheetData>
  <mergeCells count="13">
    <mergeCell ref="C10:E10"/>
    <mergeCell ref="F10:N10"/>
    <mergeCell ref="C7:E7"/>
    <mergeCell ref="F7:N7"/>
    <mergeCell ref="C8:E8"/>
    <mergeCell ref="F8:N8"/>
    <mergeCell ref="C9:E9"/>
    <mergeCell ref="F9:N9"/>
    <mergeCell ref="B2:N2"/>
    <mergeCell ref="B3:N3"/>
    <mergeCell ref="B5:N5"/>
    <mergeCell ref="C6:E6"/>
    <mergeCell ref="F6:N6"/>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N49"/>
  <sheetViews>
    <sheetView showGridLines="0" tabSelected="1" workbookViewId="0">
      <pane ySplit="4" topLeftCell="A5" activePane="bottomLeft" state="frozen"/>
      <selection pane="bottomLeft" activeCell="F26" sqref="F26:G26"/>
    </sheetView>
  </sheetViews>
  <sheetFormatPr baseColWidth="10" defaultColWidth="9.140625" defaultRowHeight="18.95" customHeight="1"/>
  <cols>
    <col min="1" max="1" width="3" customWidth="1"/>
    <col min="2" max="2" width="12.85546875" customWidth="1"/>
    <col min="3" max="3" width="12" customWidth="1"/>
    <col min="4" max="4" width="2.85546875" customWidth="1"/>
    <col min="5" max="5" width="13" customWidth="1"/>
    <col min="6" max="6" width="12.42578125" customWidth="1"/>
    <col min="7" max="7" width="12" customWidth="1"/>
    <col min="8" max="9" width="14" customWidth="1"/>
    <col min="10" max="10" width="3" customWidth="1"/>
    <col min="11" max="11" width="14" customWidth="1"/>
    <col min="12" max="12" width="10" customWidth="1"/>
    <col min="13" max="13" width="10.28515625" customWidth="1"/>
    <col min="14" max="14" width="16.5703125" customWidth="1"/>
    <col min="15" max="18" width="10" customWidth="1"/>
  </cols>
  <sheetData>
    <row r="2" spans="2:14" ht="18.75">
      <c r="B2" s="4" t="s">
        <v>0</v>
      </c>
      <c r="C2" s="4"/>
      <c r="D2" s="4"/>
      <c r="E2" s="4"/>
      <c r="F2" s="4"/>
      <c r="G2" s="4"/>
      <c r="H2" s="4"/>
      <c r="I2" s="4"/>
      <c r="J2" s="4"/>
      <c r="K2" s="4"/>
      <c r="L2" s="4"/>
      <c r="M2" s="4"/>
      <c r="N2" s="4"/>
    </row>
    <row r="3" spans="2:14" ht="15">
      <c r="B3" s="5" t="s">
        <v>1</v>
      </c>
      <c r="C3" s="5"/>
      <c r="D3" s="5"/>
      <c r="E3" s="5"/>
      <c r="F3" s="5"/>
      <c r="G3" s="5"/>
      <c r="H3" s="5"/>
      <c r="I3" s="5"/>
      <c r="J3" s="5"/>
      <c r="K3" s="5"/>
      <c r="L3" s="5"/>
      <c r="M3" s="5"/>
      <c r="N3" s="5"/>
    </row>
    <row r="5" spans="2:14" ht="15">
      <c r="B5" s="6" t="s">
        <v>2</v>
      </c>
      <c r="C5" s="6"/>
      <c r="D5" s="6"/>
      <c r="E5" s="6"/>
      <c r="F5" s="6"/>
      <c r="G5" s="6"/>
      <c r="H5" s="6"/>
      <c r="I5" s="6"/>
      <c r="J5" s="6"/>
      <c r="K5" s="6"/>
      <c r="L5" s="6"/>
      <c r="M5" s="6"/>
      <c r="N5" s="6"/>
    </row>
    <row r="6" spans="2:14" ht="21.75" customHeight="1">
      <c r="B6" s="1" t="s">
        <v>3</v>
      </c>
      <c r="C6" s="7" t="s">
        <v>4</v>
      </c>
      <c r="D6" s="7"/>
      <c r="E6" s="7"/>
      <c r="F6" s="7" t="s">
        <v>5</v>
      </c>
      <c r="G6" s="7"/>
      <c r="H6" s="7"/>
      <c r="I6" s="7"/>
      <c r="J6" s="7"/>
      <c r="K6" s="7"/>
      <c r="L6" s="7"/>
      <c r="M6" s="7"/>
      <c r="N6" s="7"/>
    </row>
    <row r="7" spans="2:14" ht="21.75" customHeight="1">
      <c r="B7" s="2" t="s">
        <v>6</v>
      </c>
      <c r="C7" s="8" t="s">
        <v>7</v>
      </c>
      <c r="D7" s="8"/>
      <c r="E7" s="8"/>
      <c r="F7" s="9" t="s">
        <v>8</v>
      </c>
      <c r="G7" s="9"/>
      <c r="H7" s="9"/>
      <c r="I7" s="9"/>
      <c r="J7" s="9"/>
      <c r="K7" s="9"/>
      <c r="L7" s="9"/>
      <c r="M7" s="9"/>
      <c r="N7" s="9"/>
    </row>
    <row r="8" spans="2:14" ht="21.75" customHeight="1">
      <c r="B8" s="2" t="s">
        <v>6</v>
      </c>
      <c r="C8" s="8" t="s">
        <v>9</v>
      </c>
      <c r="D8" s="8"/>
      <c r="E8" s="8"/>
      <c r="F8" s="9" t="s">
        <v>10</v>
      </c>
      <c r="G8" s="9"/>
      <c r="H8" s="9"/>
      <c r="I8" s="9"/>
      <c r="J8" s="9"/>
      <c r="K8" s="9"/>
      <c r="L8" s="9"/>
      <c r="M8" s="9"/>
      <c r="N8" s="9"/>
    </row>
    <row r="9" spans="2:14" ht="21.75" customHeight="1">
      <c r="B9" s="2" t="s">
        <v>11</v>
      </c>
      <c r="C9" s="8" t="s">
        <v>7</v>
      </c>
      <c r="D9" s="8"/>
      <c r="E9" s="8"/>
      <c r="F9" s="9" t="s">
        <v>12</v>
      </c>
      <c r="G9" s="9"/>
      <c r="H9" s="9"/>
      <c r="I9" s="9"/>
      <c r="J9" s="9"/>
      <c r="K9" s="9"/>
      <c r="L9" s="9"/>
      <c r="M9" s="9"/>
      <c r="N9" s="9"/>
    </row>
    <row r="10" spans="2:14" ht="21.75" customHeight="1">
      <c r="B10" s="2" t="s">
        <v>11</v>
      </c>
      <c r="C10" s="8" t="s">
        <v>9</v>
      </c>
      <c r="D10" s="8"/>
      <c r="E10" s="8"/>
      <c r="F10" s="9" t="s">
        <v>13</v>
      </c>
      <c r="G10" s="9"/>
      <c r="H10" s="9"/>
      <c r="I10" s="9"/>
      <c r="J10" s="9"/>
      <c r="K10" s="9"/>
      <c r="L10" s="9"/>
      <c r="M10" s="9"/>
      <c r="N10" s="9"/>
    </row>
    <row r="12" spans="2:14" ht="39.75" customHeight="1">
      <c r="B12" s="31" t="s">
        <v>64</v>
      </c>
      <c r="C12" s="31"/>
      <c r="D12" s="31"/>
      <c r="E12" s="31"/>
      <c r="F12" s="31"/>
      <c r="G12" s="31"/>
      <c r="H12" s="31"/>
      <c r="I12" s="31"/>
      <c r="J12" s="31"/>
    </row>
    <row r="13" spans="2:14" ht="43.5" customHeight="1">
      <c r="B13" s="32" t="s">
        <v>65</v>
      </c>
      <c r="C13" s="32"/>
      <c r="D13" s="32"/>
      <c r="E13" s="32"/>
      <c r="F13" s="32"/>
      <c r="G13" s="32"/>
      <c r="H13" s="32"/>
      <c r="I13" s="32"/>
      <c r="J13" s="32"/>
      <c r="K13" s="32"/>
      <c r="L13" s="32"/>
      <c r="M13" s="32"/>
      <c r="N13" s="32"/>
    </row>
    <row r="14" spans="2:14" ht="15">
      <c r="B14" s="7" t="s">
        <v>14</v>
      </c>
      <c r="C14" s="7"/>
      <c r="D14" s="7"/>
      <c r="E14" s="7"/>
      <c r="F14" s="7"/>
      <c r="G14" s="7"/>
      <c r="I14" s="7" t="s">
        <v>15</v>
      </c>
      <c r="J14" s="7"/>
      <c r="K14" s="7"/>
      <c r="L14" s="7"/>
      <c r="M14" s="7"/>
      <c r="N14" s="7"/>
    </row>
    <row r="15" spans="2:14" ht="33.950000000000003" customHeight="1">
      <c r="B15" s="30" t="s">
        <v>16</v>
      </c>
      <c r="C15" s="30"/>
      <c r="D15" s="30"/>
      <c r="E15" s="30"/>
      <c r="F15" s="30"/>
      <c r="G15" s="30"/>
      <c r="I15" s="30" t="s">
        <v>17</v>
      </c>
      <c r="J15" s="30"/>
      <c r="K15" s="30"/>
      <c r="L15" s="30"/>
      <c r="M15" s="30"/>
      <c r="N15" s="30"/>
    </row>
    <row r="16" spans="2:14" ht="33.950000000000003" customHeight="1">
      <c r="B16" s="30"/>
      <c r="C16" s="30"/>
      <c r="D16" s="30"/>
      <c r="E16" s="30"/>
      <c r="F16" s="30"/>
      <c r="G16" s="30"/>
      <c r="I16" s="30"/>
      <c r="J16" s="30"/>
      <c r="K16" s="30"/>
      <c r="L16" s="30"/>
      <c r="M16" s="30"/>
      <c r="N16" s="30"/>
    </row>
    <row r="17" spans="2:14" ht="15">
      <c r="B17" s="10" t="s">
        <v>18</v>
      </c>
      <c r="C17" s="10"/>
      <c r="D17" s="10"/>
      <c r="E17" s="3" t="s">
        <v>19</v>
      </c>
      <c r="F17" s="23" t="s">
        <v>20</v>
      </c>
      <c r="G17" s="24"/>
      <c r="I17" s="10" t="s">
        <v>21</v>
      </c>
      <c r="J17" s="10"/>
      <c r="K17" s="10"/>
      <c r="L17" s="3" t="s">
        <v>22</v>
      </c>
      <c r="M17" s="15">
        <v>0.95</v>
      </c>
      <c r="N17" s="16"/>
    </row>
    <row r="18" spans="2:14" ht="15">
      <c r="B18" s="10" t="s">
        <v>23</v>
      </c>
      <c r="C18" s="10"/>
      <c r="D18" s="10"/>
      <c r="E18" s="3" t="s">
        <v>24</v>
      </c>
      <c r="F18" s="23" t="s">
        <v>25</v>
      </c>
      <c r="G18" s="24"/>
      <c r="I18" s="10" t="s">
        <v>26</v>
      </c>
      <c r="J18" s="10"/>
      <c r="K18" s="10"/>
      <c r="L18" s="3" t="s">
        <v>27</v>
      </c>
      <c r="M18" s="21">
        <v>600</v>
      </c>
      <c r="N18" s="22"/>
    </row>
    <row r="19" spans="2:14" ht="15">
      <c r="B19" s="10" t="s">
        <v>28</v>
      </c>
      <c r="C19" s="10"/>
      <c r="D19" s="10"/>
      <c r="E19" s="3" t="s">
        <v>29</v>
      </c>
      <c r="F19" s="21">
        <v>0.05</v>
      </c>
      <c r="G19" s="22"/>
      <c r="I19" s="10" t="s">
        <v>30</v>
      </c>
      <c r="J19" s="10"/>
      <c r="K19" s="10"/>
      <c r="L19" s="3" t="s">
        <v>31</v>
      </c>
      <c r="M19" s="21">
        <v>100</v>
      </c>
      <c r="N19" s="22"/>
    </row>
    <row r="20" spans="2:14" ht="15">
      <c r="B20" s="10" t="s">
        <v>26</v>
      </c>
      <c r="C20" s="10"/>
      <c r="D20" s="10"/>
      <c r="E20" s="3" t="s">
        <v>27</v>
      </c>
      <c r="F20" s="21">
        <v>600</v>
      </c>
      <c r="G20" s="22"/>
      <c r="I20" s="10" t="s">
        <v>32</v>
      </c>
      <c r="J20" s="10"/>
      <c r="K20" s="10"/>
      <c r="L20" s="3" t="s">
        <v>33</v>
      </c>
      <c r="M20" s="21">
        <v>50</v>
      </c>
      <c r="N20" s="22"/>
    </row>
    <row r="21" spans="2:14" ht="15">
      <c r="B21" s="10" t="s">
        <v>34</v>
      </c>
      <c r="C21" s="10"/>
      <c r="D21" s="10"/>
      <c r="E21" s="3" t="s">
        <v>35</v>
      </c>
      <c r="F21" s="21">
        <v>650</v>
      </c>
      <c r="G21" s="22"/>
      <c r="I21" s="10" t="s">
        <v>36</v>
      </c>
      <c r="J21" s="10"/>
      <c r="K21" s="10"/>
      <c r="L21" s="3" t="s">
        <v>37</v>
      </c>
      <c r="M21" s="17">
        <f>_xlfn.NORM.S.INV((1+M17)/2)</f>
        <v>1.9599639845400536</v>
      </c>
      <c r="N21" s="18"/>
    </row>
    <row r="22" spans="2:14" ht="15">
      <c r="B22" s="10" t="s">
        <v>30</v>
      </c>
      <c r="C22" s="10"/>
      <c r="D22" s="10"/>
      <c r="E22" s="3" t="s">
        <v>31</v>
      </c>
      <c r="F22" s="23">
        <f>SQRT(10000)</f>
        <v>100</v>
      </c>
      <c r="G22" s="24"/>
      <c r="I22" s="10" t="s">
        <v>38</v>
      </c>
      <c r="J22" s="10"/>
      <c r="K22" s="10"/>
      <c r="L22" s="3" t="s">
        <v>39</v>
      </c>
      <c r="M22" s="17">
        <f>M21*M19/SQRT(M20)</f>
        <v>27.718076486993549</v>
      </c>
      <c r="N22" s="18"/>
    </row>
    <row r="23" spans="2:14" ht="15">
      <c r="B23" s="10" t="s">
        <v>32</v>
      </c>
      <c r="C23" s="10"/>
      <c r="D23" s="10"/>
      <c r="E23" s="3" t="s">
        <v>33</v>
      </c>
      <c r="F23" s="21">
        <v>50</v>
      </c>
      <c r="G23" s="22"/>
      <c r="I23" s="10" t="s">
        <v>40</v>
      </c>
      <c r="J23" s="10"/>
      <c r="K23" s="10"/>
      <c r="L23" s="3" t="s">
        <v>41</v>
      </c>
      <c r="M23" s="17">
        <f>M18-M22</f>
        <v>572.2819235130064</v>
      </c>
      <c r="N23" s="18"/>
    </row>
    <row r="24" spans="2:14" ht="15">
      <c r="B24" s="10" t="s">
        <v>42</v>
      </c>
      <c r="C24" s="10"/>
      <c r="D24" s="10"/>
      <c r="E24" s="3" t="s">
        <v>43</v>
      </c>
      <c r="F24" s="17">
        <f>(F20-F21)/(F22/SQRT(F23))</f>
        <v>-3.5355339059327378</v>
      </c>
      <c r="G24" s="18"/>
      <c r="I24" s="12" t="s">
        <v>44</v>
      </c>
      <c r="J24" s="12"/>
      <c r="K24" s="12"/>
      <c r="L24" s="13" t="s">
        <v>45</v>
      </c>
      <c r="M24" s="19">
        <f>M18+M22</f>
        <v>627.7180764869936</v>
      </c>
      <c r="N24" s="20"/>
    </row>
    <row r="25" spans="2:14" ht="15" customHeight="1">
      <c r="B25" s="10" t="s">
        <v>46</v>
      </c>
      <c r="C25" s="10"/>
      <c r="D25" s="10"/>
      <c r="E25" s="3" t="s">
        <v>47</v>
      </c>
      <c r="F25" s="17">
        <f>_xlfn.NORM.S.INV(1-F19)</f>
        <v>1.6448536269514715</v>
      </c>
      <c r="G25" s="18"/>
      <c r="I25" s="29" t="s">
        <v>48</v>
      </c>
      <c r="J25" s="29"/>
      <c r="K25" s="29"/>
      <c r="L25" s="14" t="s">
        <v>49</v>
      </c>
      <c r="M25" s="14"/>
      <c r="N25" s="14"/>
    </row>
    <row r="26" spans="2:14" ht="15">
      <c r="B26" s="10" t="s">
        <v>50</v>
      </c>
      <c r="C26" s="10"/>
      <c r="D26" s="10"/>
      <c r="E26" s="3" t="s">
        <v>51</v>
      </c>
      <c r="F26" s="17">
        <f>1-_xlfn.NORM.S.DIST(F24,1)</f>
        <v>0.9997965239912775</v>
      </c>
      <c r="G26" s="18"/>
      <c r="I26" s="29"/>
      <c r="J26" s="29"/>
      <c r="K26" s="29"/>
      <c r="L26" s="14"/>
      <c r="M26" s="14"/>
      <c r="N26" s="14"/>
    </row>
    <row r="27" spans="2:14" ht="15">
      <c r="B27" s="11" t="s">
        <v>52</v>
      </c>
      <c r="C27" s="11"/>
      <c r="D27" s="11"/>
      <c r="E27" s="25" t="s">
        <v>53</v>
      </c>
      <c r="F27" s="25"/>
      <c r="G27" s="25"/>
      <c r="I27" s="29"/>
      <c r="J27" s="29"/>
      <c r="K27" s="29"/>
      <c r="L27" s="14"/>
      <c r="M27" s="14"/>
      <c r="N27" s="14"/>
    </row>
    <row r="28" spans="2:14" ht="15" customHeight="1">
      <c r="B28" s="29" t="s">
        <v>48</v>
      </c>
      <c r="C28" s="29"/>
      <c r="D28" s="29"/>
      <c r="E28" s="26" t="s">
        <v>54</v>
      </c>
      <c r="F28" s="26"/>
      <c r="G28" s="26"/>
    </row>
    <row r="29" spans="2:14" ht="15">
      <c r="B29" s="29"/>
      <c r="C29" s="29"/>
      <c r="D29" s="29"/>
      <c r="E29" s="26"/>
      <c r="F29" s="26"/>
      <c r="G29" s="26"/>
    </row>
    <row r="32" spans="2:14" ht="39.75" customHeight="1">
      <c r="B32" s="31" t="s">
        <v>66</v>
      </c>
      <c r="C32" s="31"/>
      <c r="D32" s="31"/>
      <c r="E32" s="31"/>
      <c r="F32" s="31"/>
      <c r="G32" s="31"/>
      <c r="H32" s="31"/>
      <c r="I32" s="31"/>
      <c r="J32" s="31"/>
    </row>
    <row r="33" spans="2:14" ht="49.5" customHeight="1">
      <c r="B33" s="32" t="s">
        <v>67</v>
      </c>
      <c r="C33" s="32"/>
      <c r="D33" s="32"/>
      <c r="E33" s="32"/>
      <c r="F33" s="32"/>
      <c r="G33" s="32"/>
      <c r="H33" s="32"/>
      <c r="I33" s="32"/>
      <c r="J33" s="32"/>
      <c r="K33" s="32"/>
      <c r="L33" s="32"/>
      <c r="M33" s="32"/>
      <c r="N33" s="32"/>
    </row>
    <row r="34" spans="2:14" ht="15">
      <c r="B34" s="7" t="s">
        <v>55</v>
      </c>
      <c r="C34" s="7"/>
      <c r="D34" s="7"/>
      <c r="E34" s="7"/>
      <c r="F34" s="7"/>
      <c r="G34" s="7"/>
      <c r="I34" s="7" t="s">
        <v>56</v>
      </c>
      <c r="J34" s="7"/>
      <c r="K34" s="7"/>
      <c r="L34" s="7"/>
      <c r="M34" s="7"/>
      <c r="N34" s="7"/>
    </row>
    <row r="35" spans="2:14" ht="33.950000000000003" customHeight="1">
      <c r="B35" s="30" t="s">
        <v>57</v>
      </c>
      <c r="C35" s="30"/>
      <c r="D35" s="30"/>
      <c r="E35" s="30"/>
      <c r="F35" s="30"/>
      <c r="G35" s="30"/>
      <c r="I35" s="30" t="s">
        <v>58</v>
      </c>
      <c r="J35" s="30"/>
      <c r="K35" s="30"/>
      <c r="L35" s="30"/>
      <c r="M35" s="30"/>
      <c r="N35" s="30"/>
    </row>
    <row r="36" spans="2:14" ht="33.950000000000003" customHeight="1">
      <c r="B36" s="30"/>
      <c r="C36" s="30"/>
      <c r="D36" s="30"/>
      <c r="E36" s="30"/>
      <c r="F36" s="30"/>
      <c r="G36" s="30"/>
      <c r="I36" s="30"/>
      <c r="J36" s="30"/>
      <c r="K36" s="30"/>
      <c r="L36" s="30"/>
      <c r="M36" s="30"/>
      <c r="N36" s="30"/>
    </row>
    <row r="37" spans="2:14" ht="15">
      <c r="B37" s="10" t="s">
        <v>18</v>
      </c>
      <c r="C37" s="10"/>
      <c r="D37" s="10"/>
      <c r="E37" s="3" t="s">
        <v>19</v>
      </c>
      <c r="F37" s="23" t="s">
        <v>59</v>
      </c>
      <c r="G37" s="24"/>
      <c r="I37" s="10" t="s">
        <v>21</v>
      </c>
      <c r="J37" s="10"/>
      <c r="K37" s="10"/>
      <c r="L37" s="3" t="s">
        <v>22</v>
      </c>
      <c r="M37" s="15">
        <v>0.92</v>
      </c>
      <c r="N37" s="16"/>
    </row>
    <row r="38" spans="2:14" ht="15">
      <c r="B38" s="10" t="s">
        <v>23</v>
      </c>
      <c r="C38" s="10"/>
      <c r="D38" s="10"/>
      <c r="E38" s="3" t="s">
        <v>24</v>
      </c>
      <c r="F38" s="23" t="s">
        <v>60</v>
      </c>
      <c r="G38" s="24"/>
      <c r="I38" s="10" t="s">
        <v>26</v>
      </c>
      <c r="J38" s="10"/>
      <c r="K38" s="10"/>
      <c r="L38" s="3" t="s">
        <v>27</v>
      </c>
      <c r="M38" s="21">
        <v>11400</v>
      </c>
      <c r="N38" s="22"/>
    </row>
    <row r="39" spans="2:14" ht="15">
      <c r="B39" s="10" t="s">
        <v>28</v>
      </c>
      <c r="C39" s="10"/>
      <c r="D39" s="10"/>
      <c r="E39" s="3" t="s">
        <v>29</v>
      </c>
      <c r="F39" s="21">
        <v>0.03</v>
      </c>
      <c r="G39" s="22"/>
      <c r="I39" s="10" t="s">
        <v>30</v>
      </c>
      <c r="J39" s="10"/>
      <c r="K39" s="10"/>
      <c r="L39" s="3" t="s">
        <v>61</v>
      </c>
      <c r="M39" s="21">
        <v>700</v>
      </c>
      <c r="N39" s="22"/>
    </row>
    <row r="40" spans="2:14" ht="15">
      <c r="B40" s="10" t="s">
        <v>26</v>
      </c>
      <c r="C40" s="10"/>
      <c r="D40" s="10"/>
      <c r="E40" s="3" t="s">
        <v>27</v>
      </c>
      <c r="F40" s="21">
        <v>11400</v>
      </c>
      <c r="G40" s="22"/>
      <c r="I40" s="10" t="s">
        <v>32</v>
      </c>
      <c r="J40" s="10"/>
      <c r="K40" s="10"/>
      <c r="L40" s="3" t="s">
        <v>33</v>
      </c>
      <c r="M40" s="21">
        <v>36</v>
      </c>
      <c r="N40" s="22"/>
    </row>
    <row r="41" spans="2:14" ht="15">
      <c r="B41" s="10" t="s">
        <v>34</v>
      </c>
      <c r="C41" s="10"/>
      <c r="D41" s="10"/>
      <c r="E41" s="3" t="s">
        <v>35</v>
      </c>
      <c r="F41" s="21">
        <v>11500</v>
      </c>
      <c r="G41" s="22"/>
      <c r="I41" s="10" t="s">
        <v>36</v>
      </c>
      <c r="J41" s="10"/>
      <c r="K41" s="10"/>
      <c r="L41" s="3" t="s">
        <v>37</v>
      </c>
      <c r="M41" s="17">
        <f>_xlfn.NORM.S.INV((1+M37)/2)</f>
        <v>1.7506860712521695</v>
      </c>
      <c r="N41" s="18"/>
    </row>
    <row r="42" spans="2:14" ht="15">
      <c r="B42" s="10" t="s">
        <v>30</v>
      </c>
      <c r="C42" s="10"/>
      <c r="D42" s="10"/>
      <c r="E42" s="3" t="s">
        <v>61</v>
      </c>
      <c r="F42" s="23">
        <f>700</f>
        <v>700</v>
      </c>
      <c r="G42" s="24"/>
      <c r="I42" s="10" t="s">
        <v>38</v>
      </c>
      <c r="J42" s="10"/>
      <c r="K42" s="10"/>
      <c r="L42" s="3" t="s">
        <v>39</v>
      </c>
      <c r="M42" s="17">
        <f>M41*M39/SQRT(M40)</f>
        <v>204.2467083127531</v>
      </c>
      <c r="N42" s="18"/>
    </row>
    <row r="43" spans="2:14" ht="15">
      <c r="B43" s="10" t="s">
        <v>32</v>
      </c>
      <c r="C43" s="10"/>
      <c r="D43" s="10"/>
      <c r="E43" s="3" t="s">
        <v>33</v>
      </c>
      <c r="F43" s="21">
        <v>36</v>
      </c>
      <c r="G43" s="22"/>
      <c r="I43" s="10" t="s">
        <v>40</v>
      </c>
      <c r="J43" s="10"/>
      <c r="K43" s="10"/>
      <c r="L43" s="3" t="s">
        <v>41</v>
      </c>
      <c r="M43" s="17">
        <f>M38-M42</f>
        <v>11195.753291687246</v>
      </c>
      <c r="N43" s="18"/>
    </row>
    <row r="44" spans="2:14" ht="15">
      <c r="B44" s="10" t="s">
        <v>42</v>
      </c>
      <c r="C44" s="10"/>
      <c r="D44" s="10"/>
      <c r="E44" s="3" t="s">
        <v>43</v>
      </c>
      <c r="F44" s="17">
        <f>(F40-F41)/(F42/SQRT(F43))</f>
        <v>-0.8571428571428571</v>
      </c>
      <c r="G44" s="18"/>
      <c r="I44" s="12" t="s">
        <v>44</v>
      </c>
      <c r="J44" s="12"/>
      <c r="K44" s="12"/>
      <c r="L44" s="13" t="s">
        <v>45</v>
      </c>
      <c r="M44" s="27">
        <f>M38+M42</f>
        <v>11604.246708312754</v>
      </c>
      <c r="N44" s="28"/>
    </row>
    <row r="45" spans="2:14" ht="15" customHeight="1">
      <c r="B45" s="10" t="s">
        <v>46</v>
      </c>
      <c r="C45" s="10"/>
      <c r="D45" s="10"/>
      <c r="E45" s="3" t="s">
        <v>47</v>
      </c>
      <c r="F45" s="17">
        <f>_xlfn.NORM.S.INV(1-F39)</f>
        <v>1.8807936081512504</v>
      </c>
      <c r="G45" s="18"/>
      <c r="I45" s="29" t="s">
        <v>48</v>
      </c>
      <c r="J45" s="29"/>
      <c r="K45" s="29"/>
      <c r="L45" s="14" t="s">
        <v>62</v>
      </c>
      <c r="M45" s="14"/>
      <c r="N45" s="14"/>
    </row>
    <row r="46" spans="2:14" ht="15">
      <c r="B46" s="10" t="s">
        <v>50</v>
      </c>
      <c r="C46" s="10"/>
      <c r="D46" s="10"/>
      <c r="E46" s="3" t="s">
        <v>51</v>
      </c>
      <c r="F46" s="17">
        <f>1-_xlfn.NORM.S.DIST(F44,1)</f>
        <v>0.80431703084622408</v>
      </c>
      <c r="G46" s="18"/>
      <c r="I46" s="29"/>
      <c r="J46" s="29"/>
      <c r="K46" s="29"/>
      <c r="L46" s="14"/>
      <c r="M46" s="14"/>
      <c r="N46" s="14"/>
    </row>
    <row r="47" spans="2:14" ht="15">
      <c r="B47" s="11" t="s">
        <v>52</v>
      </c>
      <c r="C47" s="11"/>
      <c r="D47" s="11"/>
      <c r="E47" s="25" t="s">
        <v>53</v>
      </c>
      <c r="F47" s="25"/>
      <c r="G47" s="25"/>
      <c r="I47" s="29"/>
      <c r="J47" s="29"/>
      <c r="K47" s="29"/>
      <c r="L47" s="14"/>
      <c r="M47" s="14"/>
      <c r="N47" s="14"/>
    </row>
    <row r="48" spans="2:14" ht="15" customHeight="1">
      <c r="B48" s="29" t="s">
        <v>48</v>
      </c>
      <c r="C48" s="29"/>
      <c r="D48" s="29"/>
      <c r="E48" s="26" t="s">
        <v>63</v>
      </c>
      <c r="F48" s="26"/>
      <c r="G48" s="26"/>
    </row>
    <row r="49" spans="2:7" ht="15">
      <c r="B49" s="29"/>
      <c r="C49" s="29"/>
      <c r="D49" s="29"/>
      <c r="E49" s="26"/>
      <c r="F49" s="26"/>
      <c r="G49" s="26"/>
    </row>
  </sheetData>
  <mergeCells count="109">
    <mergeCell ref="B48:D49"/>
    <mergeCell ref="I45:K47"/>
    <mergeCell ref="B12:J12"/>
    <mergeCell ref="B13:N13"/>
    <mergeCell ref="B32:J32"/>
    <mergeCell ref="B33:N33"/>
    <mergeCell ref="M38:N38"/>
    <mergeCell ref="M37:N37"/>
    <mergeCell ref="F37:G37"/>
    <mergeCell ref="F38:G38"/>
    <mergeCell ref="F46:G46"/>
    <mergeCell ref="F45:G45"/>
    <mergeCell ref="F44:G44"/>
    <mergeCell ref="F43:G43"/>
    <mergeCell ref="F42:G42"/>
    <mergeCell ref="F41:G41"/>
    <mergeCell ref="F40:G40"/>
    <mergeCell ref="F39:G39"/>
    <mergeCell ref="E48:G49"/>
    <mergeCell ref="M17:N17"/>
    <mergeCell ref="M21:N21"/>
    <mergeCell ref="M24:N24"/>
    <mergeCell ref="M23:N23"/>
    <mergeCell ref="M22:N22"/>
    <mergeCell ref="M20:N20"/>
    <mergeCell ref="M19:N19"/>
    <mergeCell ref="M18:N18"/>
    <mergeCell ref="M44:N44"/>
    <mergeCell ref="M43:N43"/>
    <mergeCell ref="M42:N42"/>
    <mergeCell ref="M41:N41"/>
    <mergeCell ref="M40:N40"/>
    <mergeCell ref="M39:N39"/>
    <mergeCell ref="B44:D44"/>
    <mergeCell ref="I44:K44"/>
    <mergeCell ref="B45:D45"/>
    <mergeCell ref="L45:N47"/>
    <mergeCell ref="B46:D46"/>
    <mergeCell ref="B47:D47"/>
    <mergeCell ref="E47:G47"/>
    <mergeCell ref="B41:D41"/>
    <mergeCell ref="I41:K41"/>
    <mergeCell ref="B42:D42"/>
    <mergeCell ref="I42:K42"/>
    <mergeCell ref="B43:D43"/>
    <mergeCell ref="I43:K43"/>
    <mergeCell ref="B38:D38"/>
    <mergeCell ref="I38:K38"/>
    <mergeCell ref="B39:D39"/>
    <mergeCell ref="I39:K39"/>
    <mergeCell ref="B40:D40"/>
    <mergeCell ref="I40:K40"/>
    <mergeCell ref="B34:G34"/>
    <mergeCell ref="I34:N34"/>
    <mergeCell ref="B35:G36"/>
    <mergeCell ref="I35:N36"/>
    <mergeCell ref="B37:D37"/>
    <mergeCell ref="I37:K37"/>
    <mergeCell ref="L25:N27"/>
    <mergeCell ref="B26:D26"/>
    <mergeCell ref="B27:D27"/>
    <mergeCell ref="E27:G27"/>
    <mergeCell ref="E28:G29"/>
    <mergeCell ref="F26:G26"/>
    <mergeCell ref="F25:G25"/>
    <mergeCell ref="I25:K27"/>
    <mergeCell ref="B28:D29"/>
    <mergeCell ref="B23:D23"/>
    <mergeCell ref="I23:K23"/>
    <mergeCell ref="B24:D24"/>
    <mergeCell ref="I24:K24"/>
    <mergeCell ref="B25:D25"/>
    <mergeCell ref="F24:G24"/>
    <mergeCell ref="F23:G23"/>
    <mergeCell ref="B20:D20"/>
    <mergeCell ref="I20:K20"/>
    <mergeCell ref="B21:D21"/>
    <mergeCell ref="I21:K21"/>
    <mergeCell ref="B22:D22"/>
    <mergeCell ref="I22:K22"/>
    <mergeCell ref="F22:G22"/>
    <mergeCell ref="F21:G21"/>
    <mergeCell ref="F20:G20"/>
    <mergeCell ref="B17:D17"/>
    <mergeCell ref="I17:K17"/>
    <mergeCell ref="B18:D18"/>
    <mergeCell ref="I18:K18"/>
    <mergeCell ref="B19:D19"/>
    <mergeCell ref="I19:K19"/>
    <mergeCell ref="F19:G19"/>
    <mergeCell ref="F18:G18"/>
    <mergeCell ref="F17:G17"/>
    <mergeCell ref="C10:E10"/>
    <mergeCell ref="F10:N10"/>
    <mergeCell ref="B14:G14"/>
    <mergeCell ref="I14:N14"/>
    <mergeCell ref="B15:G16"/>
    <mergeCell ref="I15:N16"/>
    <mergeCell ref="C7:E7"/>
    <mergeCell ref="F7:N7"/>
    <mergeCell ref="C8:E8"/>
    <mergeCell ref="F8:N8"/>
    <mergeCell ref="C9:E9"/>
    <mergeCell ref="F9:N9"/>
    <mergeCell ref="B2:N2"/>
    <mergeCell ref="B3:N3"/>
    <mergeCell ref="B5:N5"/>
    <mergeCell ref="C6:E6"/>
    <mergeCell ref="F6:N6"/>
  </mergeCells>
  <pageMargins left="0.25" right="0.25" top="0.4" bottom="0.4" header="0.2" footer="0.2"/>
  <pageSetup fitToHeight="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Desarrollo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2026-05-02T00:33:22Z</dcterms:created>
  <dcterms:modified xsi:type="dcterms:W3CDTF">2026-05-02T00:48:06Z</dcterms:modified>
  <cp:category/>
</cp:coreProperties>
</file>