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Estadistica Inferencial\UNIDAD 2\"/>
    </mc:Choice>
  </mc:AlternateContent>
  <xr:revisionPtr revIDLastSave="0" documentId="8_{F5B4193F-17FB-4611-97C2-7D4673571E0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  <sheet name="Hoja8" sheetId="8" r:id="rId8"/>
    <sheet name="Hoja9" sheetId="9" r:id="rId9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" i="6" l="1"/>
  <c r="I17" i="6"/>
  <c r="F16" i="6"/>
  <c r="F21" i="6"/>
  <c r="F30" i="6"/>
  <c r="F31" i="6"/>
  <c r="F33" i="6"/>
  <c r="F32" i="6"/>
  <c r="F14" i="6"/>
  <c r="E20" i="6"/>
  <c r="I10" i="6"/>
  <c r="I15" i="1"/>
  <c r="F20" i="1"/>
  <c r="C25" i="1"/>
  <c r="I16" i="1"/>
  <c r="C26" i="1"/>
  <c r="C28" i="1"/>
  <c r="C27" i="1"/>
  <c r="F14" i="1"/>
  <c r="F19" i="1"/>
  <c r="F12" i="1"/>
  <c r="E18" i="1"/>
  <c r="I8" i="1"/>
</calcChain>
</file>

<file path=xl/sharedStrings.xml><?xml version="1.0" encoding="utf-8"?>
<sst xmlns="http://schemas.openxmlformats.org/spreadsheetml/2006/main" count="145" uniqueCount="112">
  <si>
    <t>Una empresa exportadora de café en Cajamarca afirma que el peso promedio de sus sacos es de 50 kg.</t>
  </si>
  <si>
    <t>Se selecciona una muestra aleatoria de 12 sacos.</t>
  </si>
  <si>
    <t>Matriz de datos</t>
  </si>
  <si>
    <t>Saco</t>
  </si>
  <si>
    <t>Peso</t>
  </si>
  <si>
    <t>Se toma una muestra de 10 clientes.</t>
  </si>
  <si>
    <t>Cliente</t>
  </si>
  <si>
    <t>Tiempo</t>
  </si>
  <si>
    <t>El Ministerio de Trabajo indica que el salario promedio de trabajadores textiles es S/ 1800. Se conoce que la desviación estándar poblacional es S/ 350.</t>
  </si>
  <si>
    <t>Se selecciona una muestra de 64 trabajadores.</t>
  </si>
  <si>
    <t>Trabajador</t>
  </si>
  <si>
    <t>Salario</t>
  </si>
  <si>
    <t>Una empresa minera afirma que la producción promedio diaria es de 120 toneladas. La desviación estándar poblacional es 15 toneladas.</t>
  </si>
  <si>
    <t>Se selecciona una muestra de 81 días.</t>
  </si>
  <si>
    <t>Se selecciona una muestra de 100 estudiantes.</t>
  </si>
  <si>
    <t>Se encuesta a 200 clientes.</t>
  </si>
  <si>
    <t>Se encuesta a 250 negocios.</t>
  </si>
  <si>
    <t>Datos</t>
  </si>
  <si>
    <t>Una empresa exportadora afirma que menos del 8% de sus productos presentan defectos.</t>
  </si>
  <si>
    <t>Se revisan 300 productos.</t>
  </si>
  <si>
    <t>a) Comprobar dicha afirmación con un nivel de confianza de 99%</t>
  </si>
  <si>
    <t>b) Calcular el contenido promedio de los sacos de café con un nivel de confianza del 93%</t>
  </si>
  <si>
    <t>Se supone que el peso promedio de los sacos tienen una distribución normal.</t>
  </si>
  <si>
    <t>a) Prueba de hipótesis</t>
  </si>
  <si>
    <t>Hipótesis</t>
  </si>
  <si>
    <r>
      <t>H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:</t>
    </r>
  </si>
  <si>
    <r>
      <t>H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:</t>
    </r>
  </si>
  <si>
    <t>µ = 50</t>
  </si>
  <si>
    <t>µ ≠ 50</t>
  </si>
  <si>
    <t>Nivel de significancia:</t>
  </si>
  <si>
    <t>α =</t>
  </si>
  <si>
    <t>Estadístico:</t>
  </si>
  <si>
    <t>tc =</t>
  </si>
  <si>
    <t>Xbar =</t>
  </si>
  <si>
    <t>s =</t>
  </si>
  <si>
    <t>n =</t>
  </si>
  <si>
    <t>Decisión:</t>
  </si>
  <si>
    <t>p-valor =</t>
  </si>
  <si>
    <t>g.l.=</t>
  </si>
  <si>
    <t>Conclusión:</t>
  </si>
  <si>
    <t>t</t>
  </si>
  <si>
    <t>b) Intervalo de confianza (93%)</t>
  </si>
  <si>
    <t>1- α =</t>
  </si>
  <si>
    <t>t(1-α/2) =</t>
  </si>
  <si>
    <t>Error =</t>
  </si>
  <si>
    <t>LI =</t>
  </si>
  <si>
    <t>LS =</t>
  </si>
  <si>
    <t>P.H. para una media</t>
  </si>
  <si>
    <r>
      <t>Zc = (xbar-mu)/(</t>
    </r>
    <r>
      <rPr>
        <sz val="11"/>
        <color theme="1"/>
        <rFont val="Calibri"/>
        <family val="2"/>
      </rPr>
      <t>σ</t>
    </r>
    <r>
      <rPr>
        <sz val="11"/>
        <color theme="1"/>
        <rFont val="Calibri"/>
        <family val="2"/>
        <scheme val="minor"/>
      </rPr>
      <t>/raiz(n))</t>
    </r>
  </si>
  <si>
    <r>
      <t>Zc = (xbar-mu)/(</t>
    </r>
    <r>
      <rPr>
        <sz val="11"/>
        <color theme="1"/>
        <rFont val="Calibri"/>
        <family val="2"/>
      </rPr>
      <t>s</t>
    </r>
    <r>
      <rPr>
        <sz val="11"/>
        <color theme="1"/>
        <rFont val="Calibri"/>
        <family val="2"/>
        <scheme val="minor"/>
      </rPr>
      <t>/raiz(n))</t>
    </r>
  </si>
  <si>
    <t>tc = (xbar-mu)/(s/raiz(n))</t>
  </si>
  <si>
    <t>Bilateral</t>
  </si>
  <si>
    <t>U.Derecha</t>
  </si>
  <si>
    <t>U.Izquierda</t>
  </si>
  <si>
    <t>p-valor</t>
  </si>
  <si>
    <t>=(1-DISTR.NORM.ESTAND.N(ABS(Zc);1))*2</t>
  </si>
  <si>
    <t>=1-DISTR.NORM.ESTAND.N(Zc;1)</t>
  </si>
  <si>
    <t>=DISTR.NORM.ESTAND.N(Zc;1)</t>
  </si>
  <si>
    <t>Distribución normal Z</t>
  </si>
  <si>
    <t>Distribución t-student</t>
  </si>
  <si>
    <t>=DISTR.T.2C(ABS(tc);gl)</t>
  </si>
  <si>
    <t>=DISTR.T.CD(tc;gl)</t>
  </si>
  <si>
    <t>=DISTR.T.N(tc;gl;1)</t>
  </si>
  <si>
    <t>Suponga que el tiempo de atención tiene una distribución normal</t>
  </si>
  <si>
    <t>Una entidad financiera sostiene que el tiempo promedio de atención es menor a 20 minutos.</t>
  </si>
  <si>
    <t>Día</t>
  </si>
  <si>
    <t>Producción</t>
  </si>
  <si>
    <t>Se asume una distribución normal para el gasto mensual de los estudiantes</t>
  </si>
  <si>
    <t>Una universidad afirma que el gasto promedio mensual de estudiantes es mayor a S/ 750.</t>
  </si>
  <si>
    <t>Gasto</t>
  </si>
  <si>
    <t>Estudiante</t>
  </si>
  <si>
    <t>Uso de banca movil</t>
  </si>
  <si>
    <t>Usan banca móvil.</t>
  </si>
  <si>
    <t>No usan banca móvil.</t>
  </si>
  <si>
    <t>Código</t>
  </si>
  <si>
    <t>El Ministerio de Economía sostiene que más del 40% de pequeños negocios utiliza pagos digitales.</t>
  </si>
  <si>
    <t>Negocio</t>
  </si>
  <si>
    <t>Usa pago digital</t>
  </si>
  <si>
    <t>Usan pago digital.</t>
  </si>
  <si>
    <t>No usan pago digital.</t>
  </si>
  <si>
    <t>Producto</t>
  </si>
  <si>
    <t>Condición</t>
  </si>
  <si>
    <t>Defectuoso</t>
  </si>
  <si>
    <t>No defectuoso</t>
  </si>
  <si>
    <t>Existe evidencia muestral suficiente para afirmar que el peso promedio de los sacos de café es de 50 kg, con una significancia de 0.01.</t>
  </si>
  <si>
    <t>a) Comprobar dicha afirmación con un nivel de confianza de 97.5%</t>
  </si>
  <si>
    <t>p =</t>
  </si>
  <si>
    <t>Una empresa de telefonía afirma que más del 65% de sus clientes usa banca móvil.</t>
  </si>
  <si>
    <t>π &gt; 0.65</t>
  </si>
  <si>
    <t>π ≤ 0.65</t>
  </si>
  <si>
    <t>Zc =</t>
  </si>
  <si>
    <t>x =</t>
  </si>
  <si>
    <t>Existe evidencia muestral suficiente para afirmar que la proporción de personas que usan la banca movil es del 65%, con una significancia de 0.025.</t>
  </si>
  <si>
    <t>b) Intervalo de confianza (90%)</t>
  </si>
  <si>
    <t>Z(1-α/2) =</t>
  </si>
  <si>
    <t>Interpretación:</t>
  </si>
  <si>
    <t>La verdadera proporción de personas que usan la banca movil esta entre 59.5% y 70.5%, con un nivel de confianza de 90%.</t>
  </si>
  <si>
    <t>b) Calcula e interpreta el intervalo de confianza al 90%</t>
  </si>
  <si>
    <t>a) Comprobar dicha afirmación con un nivel de confianza de 92%</t>
  </si>
  <si>
    <t>b) Calcula e interpreta el intervalo de confianza al 95%</t>
  </si>
  <si>
    <r>
      <t xml:space="preserve">Se conoce 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</si>
  <si>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No se conoce </t>
    </r>
    <r>
      <rPr>
        <b/>
        <sz val="11"/>
        <color theme="1"/>
        <rFont val="Calibri"/>
        <family val="2"/>
      </rPr>
      <t>σ</t>
    </r>
    <r>
      <rPr>
        <b/>
        <vertAlign val="superscript"/>
        <sz val="11"/>
        <color theme="1"/>
        <rFont val="Calibri"/>
        <family val="2"/>
      </rPr>
      <t>2</t>
    </r>
  </si>
  <si>
    <r>
      <t xml:space="preserve">n </t>
    </r>
    <r>
      <rPr>
        <b/>
        <sz val="11"/>
        <color theme="1"/>
        <rFont val="Calibri"/>
        <family val="2"/>
      </rPr>
      <t>≥</t>
    </r>
    <r>
      <rPr>
        <b/>
        <sz val="11"/>
        <color theme="1"/>
        <rFont val="Calibri"/>
        <family val="2"/>
        <scheme val="minor"/>
      </rPr>
      <t xml:space="preserve"> 30</t>
    </r>
  </si>
  <si>
    <r>
      <t xml:space="preserve">n </t>
    </r>
    <r>
      <rPr>
        <b/>
        <sz val="11"/>
        <color theme="1"/>
        <rFont val="Calibri"/>
        <family val="2"/>
      </rPr>
      <t>&lt;</t>
    </r>
    <r>
      <rPr>
        <b/>
        <sz val="11"/>
        <color theme="1"/>
        <rFont val="Calibri"/>
        <family val="2"/>
        <scheme val="minor"/>
      </rPr>
      <t xml:space="preserve"> 30</t>
    </r>
  </si>
  <si>
    <t>a) Comprobar dicha afirmación con un nivel de confianza de 94%</t>
  </si>
  <si>
    <t>b) Calcula e interpreta el intervalo de confianza al 97%</t>
  </si>
  <si>
    <t>a) Comprobar dicha afirmación con un nivel de confianza de 95%</t>
  </si>
  <si>
    <t>b) Calcula e interpreta el intervalo de confianza al 98%</t>
  </si>
  <si>
    <t>a) Comprobar dicha afirmación con un nivel de confianza de 92.5%</t>
  </si>
  <si>
    <t>b) Calcula e interpreta el intervalo de confianza al 99%</t>
  </si>
  <si>
    <t>a) Comprobar dicha afirmación con un nivel de confianza de 90%</t>
  </si>
  <si>
    <t>b) Calcula e interpreta el intervalo de confianza al 91.5%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</si>
</sst>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\ ;\-#,##0.0\ 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3" fillId="0" borderId="0" xfId="0" applyFont="1"/>
    <xf numFmtId="0" fontId="0" fillId="0" borderId="0" xfId="0" applyAlignment="1">
      <alignment horizontal="right"/>
    </xf>
    <xf numFmtId="0" fontId="0" fillId="0" borderId="0" xfId="0" quotePrefix="1"/>
    <xf numFmtId="0" fontId="4" fillId="0" borderId="0" xfId="0" applyFont="1"/>
    <xf numFmtId="164" fontId="5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165" fontId="0" fillId="0" borderId="0" xfId="0" applyNumberFormat="1"/>
    <xf numFmtId="0" fontId="0" fillId="0" borderId="1" xfId="0" applyBorder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="115" zoomScaleNormal="115" workbookViewId="0">
      <selection activeCell="A23" sqref="A23"/>
    </sheetView>
  </sheetViews>
  <sheetFormatPr baseColWidth="10" defaultRowHeight="15" x14ac:dyDescent="0.25"/>
  <cols>
    <col min="5" max="5" width="4.42578125" customWidth="1"/>
    <col min="9" max="9" width="9.140625" customWidth="1"/>
  </cols>
  <sheetData>
    <row r="1" spans="1:9" x14ac:dyDescent="0.25">
      <c r="A1" t="s">
        <v>0</v>
      </c>
    </row>
    <row r="2" spans="1:9" x14ac:dyDescent="0.25">
      <c r="A2" t="s">
        <v>22</v>
      </c>
    </row>
    <row r="3" spans="1:9" x14ac:dyDescent="0.25">
      <c r="A3" t="s">
        <v>1</v>
      </c>
    </row>
    <row r="4" spans="1:9" x14ac:dyDescent="0.25">
      <c r="A4" t="s">
        <v>20</v>
      </c>
    </row>
    <row r="5" spans="1:9" x14ac:dyDescent="0.25">
      <c r="A5" t="s">
        <v>21</v>
      </c>
    </row>
    <row r="7" spans="1:9" x14ac:dyDescent="0.25">
      <c r="A7" s="3" t="s">
        <v>2</v>
      </c>
      <c r="D7" t="s">
        <v>23</v>
      </c>
    </row>
    <row r="8" spans="1:9" x14ac:dyDescent="0.25">
      <c r="A8" s="1" t="s">
        <v>3</v>
      </c>
      <c r="B8" s="1" t="s">
        <v>4</v>
      </c>
      <c r="D8" t="s">
        <v>24</v>
      </c>
      <c r="H8" s="7" t="s">
        <v>40</v>
      </c>
      <c r="I8" s="7">
        <f>_xlfn.T.INV.2T(0.01,11)</f>
        <v>3.1058065155392809</v>
      </c>
    </row>
    <row r="9" spans="1:9" ht="18" x14ac:dyDescent="0.35">
      <c r="A9" s="2">
        <v>1</v>
      </c>
      <c r="B9" s="2">
        <v>49</v>
      </c>
      <c r="E9" t="s">
        <v>25</v>
      </c>
      <c r="F9" s="13" t="s">
        <v>27</v>
      </c>
    </row>
    <row r="10" spans="1:9" ht="18" x14ac:dyDescent="0.35">
      <c r="A10" s="2">
        <v>2</v>
      </c>
      <c r="B10" s="2">
        <v>52</v>
      </c>
      <c r="E10" t="s">
        <v>26</v>
      </c>
      <c r="F10" s="13" t="s">
        <v>28</v>
      </c>
    </row>
    <row r="11" spans="1:9" x14ac:dyDescent="0.25">
      <c r="A11" s="2">
        <v>3</v>
      </c>
      <c r="B11" s="2">
        <v>50</v>
      </c>
      <c r="D11" t="s">
        <v>29</v>
      </c>
    </row>
    <row r="12" spans="1:9" x14ac:dyDescent="0.25">
      <c r="A12" s="2">
        <v>4</v>
      </c>
      <c r="B12" s="2">
        <v>51</v>
      </c>
      <c r="E12" s="4" t="s">
        <v>30</v>
      </c>
      <c r="F12" s="14">
        <f>1-99%</f>
        <v>1.0000000000000009E-2</v>
      </c>
    </row>
    <row r="13" spans="1:9" x14ac:dyDescent="0.25">
      <c r="A13" s="2">
        <v>5</v>
      </c>
      <c r="B13" s="2">
        <v>48</v>
      </c>
      <c r="D13" t="s">
        <v>31</v>
      </c>
      <c r="F13" s="7"/>
    </row>
    <row r="14" spans="1:9" x14ac:dyDescent="0.25">
      <c r="A14" s="2">
        <v>6</v>
      </c>
      <c r="B14" s="2">
        <v>49</v>
      </c>
      <c r="E14" t="s">
        <v>32</v>
      </c>
      <c r="F14" s="15">
        <f>(I15-50)/(I16/SQRT(I17))</f>
        <v>0.16202772384242636</v>
      </c>
      <c r="H14" t="s">
        <v>17</v>
      </c>
    </row>
    <row r="15" spans="1:9" x14ac:dyDescent="0.25">
      <c r="A15" s="2">
        <v>7</v>
      </c>
      <c r="B15" s="2">
        <v>53</v>
      </c>
      <c r="H15" t="s">
        <v>33</v>
      </c>
      <c r="I15" s="15">
        <f>AVERAGE(B9:B20)</f>
        <v>50.083333333333336</v>
      </c>
    </row>
    <row r="16" spans="1:9" x14ac:dyDescent="0.25">
      <c r="A16" s="2">
        <v>8</v>
      </c>
      <c r="B16" s="2">
        <v>50</v>
      </c>
      <c r="H16" t="s">
        <v>34</v>
      </c>
      <c r="I16" s="15">
        <f>_xlfn.STDEV.S(B9:B20)</f>
        <v>1.7816403745544227</v>
      </c>
    </row>
    <row r="17" spans="1:10" x14ac:dyDescent="0.25">
      <c r="A17" s="2">
        <v>9</v>
      </c>
      <c r="B17" s="2">
        <v>51</v>
      </c>
      <c r="H17" t="s">
        <v>35</v>
      </c>
      <c r="I17" s="15">
        <v>12</v>
      </c>
    </row>
    <row r="18" spans="1:10" x14ac:dyDescent="0.25">
      <c r="A18" s="2">
        <v>10</v>
      </c>
      <c r="B18" s="2">
        <v>47</v>
      </c>
      <c r="D18" t="s">
        <v>36</v>
      </c>
      <c r="E18" s="16" t="str">
        <f>IF(F19&gt;F12,"No se rechaza Ho","Rechazar Ho")</f>
        <v>No se rechaza Ho</v>
      </c>
    </row>
    <row r="19" spans="1:10" x14ac:dyDescent="0.25">
      <c r="A19" s="2">
        <v>11</v>
      </c>
      <c r="B19" s="2">
        <v>52</v>
      </c>
      <c r="E19" s="5" t="s">
        <v>37</v>
      </c>
      <c r="F19" s="15">
        <f>_xlfn.T.DIST.2T(F14,F20)</f>
        <v>0.87422192271852861</v>
      </c>
    </row>
    <row r="20" spans="1:10" x14ac:dyDescent="0.25">
      <c r="A20" s="2">
        <v>12</v>
      </c>
      <c r="B20" s="2">
        <v>49</v>
      </c>
      <c r="E20" t="s">
        <v>38</v>
      </c>
      <c r="F20" s="15">
        <f>I17-1</f>
        <v>11</v>
      </c>
    </row>
    <row r="21" spans="1:10" x14ac:dyDescent="0.25">
      <c r="D21" t="s">
        <v>39</v>
      </c>
    </row>
    <row r="22" spans="1:10" x14ac:dyDescent="0.25">
      <c r="E22" s="19" t="s">
        <v>84</v>
      </c>
      <c r="F22" s="19"/>
      <c r="G22" s="19"/>
      <c r="H22" s="19"/>
      <c r="I22" s="19"/>
      <c r="J22" s="19"/>
    </row>
    <row r="23" spans="1:10" x14ac:dyDescent="0.25">
      <c r="A23" t="s">
        <v>41</v>
      </c>
      <c r="E23" s="19"/>
      <c r="F23" s="19"/>
      <c r="G23" s="19"/>
      <c r="H23" s="19"/>
      <c r="I23" s="19"/>
      <c r="J23" s="19"/>
    </row>
    <row r="24" spans="1:10" x14ac:dyDescent="0.25">
      <c r="B24" s="4" t="s">
        <v>42</v>
      </c>
      <c r="C24">
        <v>0.93</v>
      </c>
      <c r="E24" s="19"/>
      <c r="F24" s="19"/>
      <c r="G24" s="19"/>
      <c r="H24" s="19"/>
      <c r="I24" s="19"/>
      <c r="J24" s="19"/>
    </row>
    <row r="25" spans="1:10" x14ac:dyDescent="0.25">
      <c r="B25" t="s">
        <v>43</v>
      </c>
      <c r="C25">
        <f>_xlfn.T.INV.2T(1-C24,F20)</f>
        <v>2.0066627580306151</v>
      </c>
    </row>
    <row r="26" spans="1:10" x14ac:dyDescent="0.25">
      <c r="B26" t="s">
        <v>44</v>
      </c>
      <c r="C26">
        <f>C25*I16/SQRT(I17)</f>
        <v>1.03205730807637</v>
      </c>
    </row>
    <row r="27" spans="1:10" x14ac:dyDescent="0.25">
      <c r="B27" t="s">
        <v>45</v>
      </c>
      <c r="C27">
        <f>I15-C26</f>
        <v>49.051276025256968</v>
      </c>
    </row>
    <row r="28" spans="1:10" x14ac:dyDescent="0.25">
      <c r="B28" t="s">
        <v>46</v>
      </c>
      <c r="C28">
        <f>I15+C26</f>
        <v>51.115390641409704</v>
      </c>
    </row>
  </sheetData>
  <mergeCells count="1">
    <mergeCell ref="E22:J24"/>
  </mergeCells>
  <pageMargins left="0.7" right="0.7" top="0.75" bottom="0.75" header="0.3" footer="0.3"/>
  <pageSetup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zoomScale="145" zoomScaleNormal="145" workbookViewId="0">
      <selection activeCell="A4" sqref="A4:A5"/>
    </sheetView>
  </sheetViews>
  <sheetFormatPr baseColWidth="10" defaultRowHeight="15" x14ac:dyDescent="0.25"/>
  <sheetData>
    <row r="1" spans="1:2" x14ac:dyDescent="0.25">
      <c r="A1" t="s">
        <v>64</v>
      </c>
    </row>
    <row r="2" spans="1:2" x14ac:dyDescent="0.25">
      <c r="A2" t="s">
        <v>63</v>
      </c>
    </row>
    <row r="3" spans="1:2" x14ac:dyDescent="0.25">
      <c r="A3" t="s">
        <v>5</v>
      </c>
    </row>
    <row r="4" spans="1:2" x14ac:dyDescent="0.25">
      <c r="A4" t="s">
        <v>104</v>
      </c>
    </row>
    <row r="5" spans="1:2" x14ac:dyDescent="0.25">
      <c r="A5" t="s">
        <v>105</v>
      </c>
    </row>
    <row r="6" spans="1:2" x14ac:dyDescent="0.25">
      <c r="A6" s="3" t="s">
        <v>2</v>
      </c>
    </row>
    <row r="7" spans="1:2" x14ac:dyDescent="0.25">
      <c r="A7" s="1" t="s">
        <v>6</v>
      </c>
      <c r="B7" s="1" t="s">
        <v>7</v>
      </c>
    </row>
    <row r="8" spans="1:2" x14ac:dyDescent="0.25">
      <c r="A8" s="2">
        <v>1</v>
      </c>
      <c r="B8" s="2">
        <v>20</v>
      </c>
    </row>
    <row r="9" spans="1:2" x14ac:dyDescent="0.25">
      <c r="A9" s="2">
        <v>2</v>
      </c>
      <c r="B9" s="2">
        <v>17</v>
      </c>
    </row>
    <row r="10" spans="1:2" x14ac:dyDescent="0.25">
      <c r="A10" s="2">
        <v>3</v>
      </c>
      <c r="B10" s="2">
        <v>19</v>
      </c>
    </row>
    <row r="11" spans="1:2" x14ac:dyDescent="0.25">
      <c r="A11" s="2">
        <v>4</v>
      </c>
      <c r="B11" s="2">
        <v>21</v>
      </c>
    </row>
    <row r="12" spans="1:2" x14ac:dyDescent="0.25">
      <c r="A12" s="2">
        <v>5</v>
      </c>
      <c r="B12" s="2">
        <v>16</v>
      </c>
    </row>
    <row r="13" spans="1:2" x14ac:dyDescent="0.25">
      <c r="A13" s="2">
        <v>6</v>
      </c>
      <c r="B13" s="2">
        <v>18</v>
      </c>
    </row>
    <row r="14" spans="1:2" x14ac:dyDescent="0.25">
      <c r="A14" s="2">
        <v>7</v>
      </c>
      <c r="B14" s="2">
        <v>22</v>
      </c>
    </row>
    <row r="15" spans="1:2" x14ac:dyDescent="0.25">
      <c r="A15" s="2">
        <v>8</v>
      </c>
      <c r="B15" s="2">
        <v>17</v>
      </c>
    </row>
    <row r="16" spans="1:2" x14ac:dyDescent="0.25">
      <c r="A16" s="2">
        <v>9</v>
      </c>
      <c r="B16" s="2">
        <v>19</v>
      </c>
    </row>
    <row r="17" spans="1:2" x14ac:dyDescent="0.25">
      <c r="A17" s="2">
        <v>10</v>
      </c>
      <c r="B17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workbookViewId="0">
      <selection activeCell="A3" sqref="A3:A4"/>
    </sheetView>
  </sheetViews>
  <sheetFormatPr baseColWidth="10" defaultRowHeight="15" x14ac:dyDescent="0.25"/>
  <sheetData>
    <row r="1" spans="1:3" x14ac:dyDescent="0.25">
      <c r="A1" t="s">
        <v>8</v>
      </c>
    </row>
    <row r="2" spans="1:3" x14ac:dyDescent="0.25">
      <c r="A2" t="s">
        <v>9</v>
      </c>
    </row>
    <row r="3" spans="1:3" x14ac:dyDescent="0.25">
      <c r="A3" t="s">
        <v>106</v>
      </c>
    </row>
    <row r="4" spans="1:3" x14ac:dyDescent="0.25">
      <c r="A4" t="s">
        <v>107</v>
      </c>
    </row>
    <row r="5" spans="1:3" x14ac:dyDescent="0.25">
      <c r="A5" s="3" t="s">
        <v>2</v>
      </c>
    </row>
    <row r="6" spans="1:3" x14ac:dyDescent="0.25">
      <c r="B6" s="1" t="s">
        <v>10</v>
      </c>
      <c r="C6" s="1" t="s">
        <v>11</v>
      </c>
    </row>
    <row r="7" spans="1:3" x14ac:dyDescent="0.25">
      <c r="B7" s="2">
        <v>1</v>
      </c>
      <c r="C7">
        <v>1661.8</v>
      </c>
    </row>
    <row r="8" spans="1:3" x14ac:dyDescent="0.25">
      <c r="B8" s="2">
        <v>2</v>
      </c>
      <c r="C8">
        <v>2358.5</v>
      </c>
    </row>
    <row r="9" spans="1:3" x14ac:dyDescent="0.25">
      <c r="B9" s="2">
        <v>3</v>
      </c>
      <c r="C9">
        <v>2312.6</v>
      </c>
    </row>
    <row r="10" spans="1:3" x14ac:dyDescent="0.25">
      <c r="B10" s="2">
        <v>4</v>
      </c>
      <c r="C10">
        <v>1452.2</v>
      </c>
    </row>
    <row r="11" spans="1:3" x14ac:dyDescent="0.25">
      <c r="B11" s="2">
        <v>5</v>
      </c>
      <c r="C11">
        <v>1921.5</v>
      </c>
    </row>
    <row r="12" spans="1:3" x14ac:dyDescent="0.25">
      <c r="A12" s="2"/>
      <c r="B12" s="2">
        <v>6</v>
      </c>
      <c r="C12">
        <v>1924.6</v>
      </c>
    </row>
    <row r="13" spans="1:3" x14ac:dyDescent="0.25">
      <c r="A13" s="2"/>
      <c r="B13" s="2">
        <v>7</v>
      </c>
      <c r="C13">
        <v>2102.1</v>
      </c>
    </row>
    <row r="14" spans="1:3" x14ac:dyDescent="0.25">
      <c r="B14" s="2">
        <v>8</v>
      </c>
      <c r="C14">
        <v>1501</v>
      </c>
    </row>
    <row r="15" spans="1:3" x14ac:dyDescent="0.25">
      <c r="B15" s="2">
        <v>9</v>
      </c>
      <c r="C15">
        <v>2386</v>
      </c>
    </row>
    <row r="16" spans="1:3" x14ac:dyDescent="0.25">
      <c r="B16" s="2">
        <v>10</v>
      </c>
      <c r="C16">
        <v>1815.2</v>
      </c>
    </row>
    <row r="17" spans="2:3" x14ac:dyDescent="0.25">
      <c r="B17" s="2">
        <v>11</v>
      </c>
      <c r="C17">
        <v>1017</v>
      </c>
    </row>
    <row r="18" spans="2:3" x14ac:dyDescent="0.25">
      <c r="B18" s="2">
        <v>12</v>
      </c>
      <c r="C18">
        <v>1588.2</v>
      </c>
    </row>
    <row r="19" spans="2:3" x14ac:dyDescent="0.25">
      <c r="B19" s="2">
        <v>13</v>
      </c>
      <c r="C19">
        <v>1469.4</v>
      </c>
    </row>
    <row r="20" spans="2:3" x14ac:dyDescent="0.25">
      <c r="B20" s="2">
        <v>14</v>
      </c>
      <c r="C20">
        <v>1895.5</v>
      </c>
    </row>
    <row r="21" spans="2:3" x14ac:dyDescent="0.25">
      <c r="B21" s="2">
        <v>15</v>
      </c>
      <c r="C21">
        <v>1691.5</v>
      </c>
    </row>
    <row r="22" spans="2:3" x14ac:dyDescent="0.25">
      <c r="B22" s="2">
        <v>16</v>
      </c>
      <c r="C22">
        <v>1719.7</v>
      </c>
    </row>
    <row r="23" spans="2:3" x14ac:dyDescent="0.25">
      <c r="B23" s="2">
        <v>17</v>
      </c>
      <c r="C23">
        <v>2410.5</v>
      </c>
    </row>
    <row r="24" spans="2:3" x14ac:dyDescent="0.25">
      <c r="B24" s="2">
        <v>18</v>
      </c>
      <c r="C24">
        <v>1432.6</v>
      </c>
    </row>
    <row r="25" spans="2:3" x14ac:dyDescent="0.25">
      <c r="B25" s="2">
        <v>19</v>
      </c>
      <c r="C25">
        <v>1531.4</v>
      </c>
    </row>
    <row r="26" spans="2:3" x14ac:dyDescent="0.25">
      <c r="B26" s="2">
        <v>20</v>
      </c>
      <c r="C26">
        <v>2067.8000000000002</v>
      </c>
    </row>
    <row r="27" spans="2:3" x14ac:dyDescent="0.25">
      <c r="B27" s="2">
        <v>21</v>
      </c>
      <c r="C27">
        <v>2018.2</v>
      </c>
    </row>
    <row r="28" spans="2:3" x14ac:dyDescent="0.25">
      <c r="B28" s="2">
        <v>22</v>
      </c>
      <c r="C28">
        <v>2369.5</v>
      </c>
    </row>
    <row r="29" spans="2:3" x14ac:dyDescent="0.25">
      <c r="B29" s="2">
        <v>23</v>
      </c>
      <c r="C29">
        <v>1040.8</v>
      </c>
    </row>
    <row r="30" spans="2:3" x14ac:dyDescent="0.25">
      <c r="B30" s="2">
        <v>24</v>
      </c>
      <c r="C30">
        <v>1311.4</v>
      </c>
    </row>
    <row r="31" spans="2:3" x14ac:dyDescent="0.25">
      <c r="B31" s="2">
        <v>25</v>
      </c>
      <c r="C31">
        <v>2017.5</v>
      </c>
    </row>
    <row r="32" spans="2:3" x14ac:dyDescent="0.25">
      <c r="B32" s="2">
        <v>26</v>
      </c>
      <c r="C32">
        <v>1792</v>
      </c>
    </row>
    <row r="33" spans="2:3" x14ac:dyDescent="0.25">
      <c r="B33" s="2">
        <v>27</v>
      </c>
      <c r="C33">
        <v>2145.5</v>
      </c>
    </row>
    <row r="34" spans="2:3" x14ac:dyDescent="0.25">
      <c r="B34" s="2">
        <v>28</v>
      </c>
      <c r="C34">
        <v>1552.1</v>
      </c>
    </row>
    <row r="35" spans="2:3" x14ac:dyDescent="0.25">
      <c r="B35" s="2">
        <v>29</v>
      </c>
      <c r="C35">
        <v>1467.9</v>
      </c>
    </row>
    <row r="36" spans="2:3" x14ac:dyDescent="0.25">
      <c r="B36" s="2">
        <v>30</v>
      </c>
      <c r="C36">
        <v>2306.4</v>
      </c>
    </row>
    <row r="37" spans="2:3" x14ac:dyDescent="0.25">
      <c r="B37" s="2">
        <v>31</v>
      </c>
      <c r="C37">
        <v>2377.6</v>
      </c>
    </row>
    <row r="38" spans="2:3" x14ac:dyDescent="0.25">
      <c r="B38" s="2">
        <v>32</v>
      </c>
      <c r="C38">
        <v>1924</v>
      </c>
    </row>
    <row r="39" spans="2:3" x14ac:dyDescent="0.25">
      <c r="B39" s="2">
        <v>33</v>
      </c>
      <c r="C39">
        <v>1537.2</v>
      </c>
    </row>
    <row r="40" spans="2:3" x14ac:dyDescent="0.25">
      <c r="B40" s="2">
        <v>34</v>
      </c>
      <c r="C40">
        <v>2017</v>
      </c>
    </row>
    <row r="41" spans="2:3" x14ac:dyDescent="0.25">
      <c r="B41" s="2">
        <v>35</v>
      </c>
      <c r="C41">
        <v>2105.3000000000002</v>
      </c>
    </row>
    <row r="42" spans="2:3" x14ac:dyDescent="0.25">
      <c r="B42" s="2">
        <v>36</v>
      </c>
      <c r="C42">
        <v>1132.4000000000001</v>
      </c>
    </row>
    <row r="43" spans="2:3" x14ac:dyDescent="0.25">
      <c r="B43" s="2">
        <v>37</v>
      </c>
      <c r="C43">
        <v>2249.6</v>
      </c>
    </row>
    <row r="44" spans="2:3" x14ac:dyDescent="0.25">
      <c r="B44" s="2">
        <v>38</v>
      </c>
      <c r="C44">
        <v>1948.1</v>
      </c>
    </row>
    <row r="45" spans="2:3" x14ac:dyDescent="0.25">
      <c r="B45" s="2">
        <v>39</v>
      </c>
      <c r="C45">
        <v>1581.9</v>
      </c>
    </row>
    <row r="46" spans="2:3" x14ac:dyDescent="0.25">
      <c r="B46" s="2">
        <v>40</v>
      </c>
      <c r="C46">
        <v>1354.8</v>
      </c>
    </row>
    <row r="47" spans="2:3" x14ac:dyDescent="0.25">
      <c r="B47" s="2">
        <v>41</v>
      </c>
      <c r="C47">
        <v>2370.1</v>
      </c>
    </row>
    <row r="48" spans="2:3" x14ac:dyDescent="0.25">
      <c r="B48" s="2">
        <v>42</v>
      </c>
      <c r="C48">
        <v>2067.3000000000002</v>
      </c>
    </row>
    <row r="49" spans="2:3" x14ac:dyDescent="0.25">
      <c r="B49" s="2">
        <v>43</v>
      </c>
      <c r="C49">
        <v>2018.5</v>
      </c>
    </row>
    <row r="50" spans="2:3" x14ac:dyDescent="0.25">
      <c r="B50" s="2">
        <v>44</v>
      </c>
      <c r="C50">
        <v>1471.2</v>
      </c>
    </row>
    <row r="51" spans="2:3" x14ac:dyDescent="0.25">
      <c r="B51" s="2">
        <v>45</v>
      </c>
      <c r="C51">
        <v>1658.2</v>
      </c>
    </row>
    <row r="52" spans="2:3" x14ac:dyDescent="0.25">
      <c r="B52" s="2">
        <v>46</v>
      </c>
      <c r="C52">
        <v>1638.1</v>
      </c>
    </row>
    <row r="53" spans="2:3" x14ac:dyDescent="0.25">
      <c r="B53" s="2">
        <v>47</v>
      </c>
      <c r="C53">
        <v>1171.3</v>
      </c>
    </row>
    <row r="54" spans="2:3" x14ac:dyDescent="0.25">
      <c r="B54" s="2">
        <v>48</v>
      </c>
      <c r="C54">
        <v>1875.5</v>
      </c>
    </row>
    <row r="55" spans="2:3" x14ac:dyDescent="0.25">
      <c r="B55" s="2">
        <v>49</v>
      </c>
      <c r="C55">
        <v>1521.2</v>
      </c>
    </row>
    <row r="56" spans="2:3" x14ac:dyDescent="0.25">
      <c r="B56" s="2">
        <v>50</v>
      </c>
      <c r="C56">
        <v>1848.9</v>
      </c>
    </row>
    <row r="57" spans="2:3" x14ac:dyDescent="0.25">
      <c r="B57" s="2">
        <v>51</v>
      </c>
      <c r="C57">
        <v>1992.1</v>
      </c>
    </row>
    <row r="58" spans="2:3" x14ac:dyDescent="0.25">
      <c r="B58" s="2">
        <v>52</v>
      </c>
      <c r="C58">
        <v>2192.9</v>
      </c>
    </row>
    <row r="59" spans="2:3" x14ac:dyDescent="0.25">
      <c r="B59" s="2">
        <v>53</v>
      </c>
      <c r="C59">
        <v>1662.1</v>
      </c>
    </row>
    <row r="60" spans="2:3" x14ac:dyDescent="0.25">
      <c r="B60" s="2">
        <v>54</v>
      </c>
      <c r="C60">
        <v>2139</v>
      </c>
    </row>
    <row r="61" spans="2:3" x14ac:dyDescent="0.25">
      <c r="B61" s="2">
        <v>55</v>
      </c>
      <c r="C61">
        <v>1796.7</v>
      </c>
    </row>
    <row r="62" spans="2:3" x14ac:dyDescent="0.25">
      <c r="B62" s="2">
        <v>56</v>
      </c>
      <c r="C62">
        <v>2048.1999999999998</v>
      </c>
    </row>
    <row r="63" spans="2:3" x14ac:dyDescent="0.25">
      <c r="B63" s="2">
        <v>57</v>
      </c>
      <c r="C63">
        <v>2347.1</v>
      </c>
    </row>
    <row r="64" spans="2:3" x14ac:dyDescent="0.25">
      <c r="B64" s="2">
        <v>58</v>
      </c>
      <c r="C64">
        <v>1918.9</v>
      </c>
    </row>
    <row r="65" spans="2:3" x14ac:dyDescent="0.25">
      <c r="B65" s="2">
        <v>59</v>
      </c>
      <c r="C65">
        <v>2049.1</v>
      </c>
    </row>
    <row r="66" spans="2:3" x14ac:dyDescent="0.25">
      <c r="B66" s="2">
        <v>60</v>
      </c>
      <c r="C66">
        <v>1886.7</v>
      </c>
    </row>
    <row r="67" spans="2:3" x14ac:dyDescent="0.25">
      <c r="B67" s="2">
        <v>61</v>
      </c>
      <c r="C67">
        <v>2262.4</v>
      </c>
    </row>
    <row r="68" spans="2:3" x14ac:dyDescent="0.25">
      <c r="B68" s="2">
        <v>62</v>
      </c>
      <c r="C68">
        <v>1613.3</v>
      </c>
    </row>
    <row r="69" spans="2:3" x14ac:dyDescent="0.25">
      <c r="B69" s="2">
        <v>63</v>
      </c>
      <c r="C69">
        <v>1544.7</v>
      </c>
    </row>
    <row r="70" spans="2:3" x14ac:dyDescent="0.25">
      <c r="B70" s="2">
        <v>64</v>
      </c>
      <c r="C70">
        <v>1969.2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7"/>
  <sheetViews>
    <sheetView workbookViewId="0">
      <selection activeCell="A3" sqref="A3:A4"/>
    </sheetView>
  </sheetViews>
  <sheetFormatPr baseColWidth="10" defaultRowHeight="15" x14ac:dyDescent="0.25"/>
  <sheetData>
    <row r="1" spans="1:3" x14ac:dyDescent="0.25">
      <c r="A1" t="s">
        <v>12</v>
      </c>
    </row>
    <row r="2" spans="1:3" x14ac:dyDescent="0.25">
      <c r="A2" t="s">
        <v>13</v>
      </c>
    </row>
    <row r="3" spans="1:3" x14ac:dyDescent="0.25">
      <c r="A3" t="s">
        <v>108</v>
      </c>
    </row>
    <row r="4" spans="1:3" x14ac:dyDescent="0.25">
      <c r="A4" t="s">
        <v>109</v>
      </c>
    </row>
    <row r="5" spans="1:3" x14ac:dyDescent="0.25">
      <c r="A5" s="3" t="s">
        <v>2</v>
      </c>
    </row>
    <row r="6" spans="1:3" x14ac:dyDescent="0.25">
      <c r="B6" s="9" t="s">
        <v>65</v>
      </c>
      <c r="C6" s="9" t="s">
        <v>66</v>
      </c>
    </row>
    <row r="7" spans="1:3" x14ac:dyDescent="0.25">
      <c r="B7">
        <v>1</v>
      </c>
      <c r="C7">
        <v>130.4</v>
      </c>
    </row>
    <row r="8" spans="1:3" x14ac:dyDescent="0.25">
      <c r="B8">
        <v>2</v>
      </c>
      <c r="C8">
        <v>121.6</v>
      </c>
    </row>
    <row r="9" spans="1:3" x14ac:dyDescent="0.25">
      <c r="B9">
        <v>3</v>
      </c>
      <c r="C9">
        <v>133.19999999999999</v>
      </c>
    </row>
    <row r="10" spans="1:3" x14ac:dyDescent="0.25">
      <c r="B10">
        <v>4</v>
      </c>
      <c r="C10">
        <v>102.5</v>
      </c>
    </row>
    <row r="11" spans="1:3" x14ac:dyDescent="0.25">
      <c r="B11">
        <v>5</v>
      </c>
      <c r="C11">
        <v>98.9</v>
      </c>
    </row>
    <row r="12" spans="1:3" x14ac:dyDescent="0.25">
      <c r="B12">
        <v>6</v>
      </c>
      <c r="C12">
        <v>96.1</v>
      </c>
    </row>
    <row r="13" spans="1:3" x14ac:dyDescent="0.25">
      <c r="B13">
        <v>7</v>
      </c>
      <c r="C13">
        <v>90.2</v>
      </c>
    </row>
    <row r="14" spans="1:3" x14ac:dyDescent="0.25">
      <c r="B14">
        <v>8</v>
      </c>
      <c r="C14">
        <v>83.7</v>
      </c>
    </row>
    <row r="15" spans="1:3" x14ac:dyDescent="0.25">
      <c r="B15">
        <v>9</v>
      </c>
      <c r="C15">
        <v>116.8</v>
      </c>
    </row>
    <row r="16" spans="1:3" x14ac:dyDescent="0.25">
      <c r="B16">
        <v>10</v>
      </c>
      <c r="C16">
        <v>111.3</v>
      </c>
    </row>
    <row r="17" spans="2:3" x14ac:dyDescent="0.25">
      <c r="B17">
        <v>11</v>
      </c>
      <c r="C17">
        <v>116.5</v>
      </c>
    </row>
    <row r="18" spans="2:3" x14ac:dyDescent="0.25">
      <c r="B18">
        <v>12</v>
      </c>
      <c r="C18">
        <v>114.9</v>
      </c>
    </row>
    <row r="19" spans="2:3" x14ac:dyDescent="0.25">
      <c r="B19">
        <v>13</v>
      </c>
      <c r="C19">
        <v>94.1</v>
      </c>
    </row>
    <row r="20" spans="2:3" x14ac:dyDescent="0.25">
      <c r="B20">
        <v>14</v>
      </c>
      <c r="C20">
        <v>124.9</v>
      </c>
    </row>
    <row r="21" spans="2:3" x14ac:dyDescent="0.25">
      <c r="B21">
        <v>15</v>
      </c>
      <c r="C21">
        <v>101.8</v>
      </c>
    </row>
    <row r="22" spans="2:3" x14ac:dyDescent="0.25">
      <c r="B22">
        <v>16</v>
      </c>
      <c r="C22">
        <v>98.9</v>
      </c>
    </row>
    <row r="23" spans="2:3" x14ac:dyDescent="0.25">
      <c r="B23">
        <v>17</v>
      </c>
      <c r="C23">
        <v>106.1</v>
      </c>
    </row>
    <row r="24" spans="2:3" x14ac:dyDescent="0.25">
      <c r="B24">
        <v>18</v>
      </c>
      <c r="C24">
        <v>130.4</v>
      </c>
    </row>
    <row r="25" spans="2:3" x14ac:dyDescent="0.25">
      <c r="B25">
        <v>19</v>
      </c>
      <c r="C25">
        <v>101.4</v>
      </c>
    </row>
    <row r="26" spans="2:3" x14ac:dyDescent="0.25">
      <c r="B26">
        <v>20</v>
      </c>
      <c r="C26">
        <v>124.8</v>
      </c>
    </row>
    <row r="27" spans="2:3" x14ac:dyDescent="0.25">
      <c r="B27">
        <v>21</v>
      </c>
      <c r="C27">
        <v>112</v>
      </c>
    </row>
    <row r="28" spans="2:3" x14ac:dyDescent="0.25">
      <c r="B28">
        <v>22</v>
      </c>
      <c r="C28">
        <v>140.9</v>
      </c>
    </row>
    <row r="29" spans="2:3" x14ac:dyDescent="0.25">
      <c r="B29">
        <v>23</v>
      </c>
      <c r="C29">
        <v>112</v>
      </c>
    </row>
    <row r="30" spans="2:3" x14ac:dyDescent="0.25">
      <c r="B30">
        <v>24</v>
      </c>
      <c r="C30">
        <v>123.9</v>
      </c>
    </row>
    <row r="31" spans="2:3" x14ac:dyDescent="0.25">
      <c r="B31">
        <v>25</v>
      </c>
      <c r="C31">
        <v>126.7</v>
      </c>
    </row>
    <row r="32" spans="2:3" x14ac:dyDescent="0.25">
      <c r="B32">
        <v>26</v>
      </c>
      <c r="C32">
        <v>98.4</v>
      </c>
    </row>
    <row r="33" spans="2:3" x14ac:dyDescent="0.25">
      <c r="B33">
        <v>27</v>
      </c>
      <c r="C33">
        <v>124.9</v>
      </c>
    </row>
    <row r="34" spans="2:3" x14ac:dyDescent="0.25">
      <c r="B34">
        <v>28</v>
      </c>
      <c r="C34">
        <v>101</v>
      </c>
    </row>
    <row r="35" spans="2:3" x14ac:dyDescent="0.25">
      <c r="B35">
        <v>29</v>
      </c>
      <c r="C35">
        <v>124.7</v>
      </c>
    </row>
    <row r="36" spans="2:3" x14ac:dyDescent="0.25">
      <c r="B36">
        <v>30</v>
      </c>
      <c r="C36">
        <v>107</v>
      </c>
    </row>
    <row r="37" spans="2:3" x14ac:dyDescent="0.25">
      <c r="B37">
        <v>31</v>
      </c>
      <c r="C37">
        <v>128.19999999999999</v>
      </c>
    </row>
    <row r="38" spans="2:3" x14ac:dyDescent="0.25">
      <c r="B38">
        <v>32</v>
      </c>
      <c r="C38">
        <v>139.19999999999999</v>
      </c>
    </row>
    <row r="39" spans="2:3" x14ac:dyDescent="0.25">
      <c r="B39">
        <v>33</v>
      </c>
      <c r="C39">
        <v>124.5</v>
      </c>
    </row>
    <row r="40" spans="2:3" x14ac:dyDescent="0.25">
      <c r="B40">
        <v>34</v>
      </c>
      <c r="C40">
        <v>122.5</v>
      </c>
    </row>
    <row r="41" spans="2:3" x14ac:dyDescent="0.25">
      <c r="B41">
        <v>35</v>
      </c>
      <c r="C41">
        <v>129</v>
      </c>
    </row>
    <row r="42" spans="2:3" x14ac:dyDescent="0.25">
      <c r="B42">
        <v>36</v>
      </c>
      <c r="C42">
        <v>136.19999999999999</v>
      </c>
    </row>
    <row r="43" spans="2:3" x14ac:dyDescent="0.25">
      <c r="B43">
        <v>37</v>
      </c>
      <c r="C43">
        <v>96.6</v>
      </c>
    </row>
    <row r="44" spans="2:3" x14ac:dyDescent="0.25">
      <c r="B44">
        <v>38</v>
      </c>
      <c r="C44">
        <v>107.2</v>
      </c>
    </row>
    <row r="45" spans="2:3" x14ac:dyDescent="0.25">
      <c r="B45">
        <v>39</v>
      </c>
      <c r="C45">
        <v>111.3</v>
      </c>
    </row>
    <row r="46" spans="2:3" x14ac:dyDescent="0.25">
      <c r="B46">
        <v>40</v>
      </c>
      <c r="C46">
        <v>111</v>
      </c>
    </row>
    <row r="47" spans="2:3" x14ac:dyDescent="0.25">
      <c r="B47">
        <v>41</v>
      </c>
      <c r="C47">
        <v>129.30000000000001</v>
      </c>
    </row>
    <row r="48" spans="2:3" x14ac:dyDescent="0.25">
      <c r="B48">
        <v>42</v>
      </c>
      <c r="C48">
        <v>121.7</v>
      </c>
    </row>
    <row r="49" spans="2:3" x14ac:dyDescent="0.25">
      <c r="B49">
        <v>43</v>
      </c>
      <c r="C49">
        <v>92.5</v>
      </c>
    </row>
    <row r="50" spans="2:3" x14ac:dyDescent="0.25">
      <c r="B50">
        <v>44</v>
      </c>
      <c r="C50">
        <v>97.9</v>
      </c>
    </row>
    <row r="51" spans="2:3" x14ac:dyDescent="0.25">
      <c r="B51">
        <v>45</v>
      </c>
      <c r="C51">
        <v>117</v>
      </c>
    </row>
    <row r="52" spans="2:3" x14ac:dyDescent="0.25">
      <c r="B52">
        <v>46</v>
      </c>
      <c r="C52">
        <v>125.8</v>
      </c>
    </row>
    <row r="53" spans="2:3" x14ac:dyDescent="0.25">
      <c r="B53">
        <v>47</v>
      </c>
      <c r="C53">
        <v>91.1</v>
      </c>
    </row>
    <row r="54" spans="2:3" x14ac:dyDescent="0.25">
      <c r="B54">
        <v>48</v>
      </c>
      <c r="C54">
        <v>96</v>
      </c>
    </row>
    <row r="55" spans="2:3" x14ac:dyDescent="0.25">
      <c r="B55">
        <v>49</v>
      </c>
      <c r="C55">
        <v>99.5</v>
      </c>
    </row>
    <row r="56" spans="2:3" x14ac:dyDescent="0.25">
      <c r="B56">
        <v>50</v>
      </c>
      <c r="C56">
        <v>123.6</v>
      </c>
    </row>
    <row r="57" spans="2:3" x14ac:dyDescent="0.25">
      <c r="B57">
        <v>51</v>
      </c>
      <c r="C57">
        <v>147.80000000000001</v>
      </c>
    </row>
    <row r="58" spans="2:3" x14ac:dyDescent="0.25">
      <c r="B58">
        <v>52</v>
      </c>
      <c r="C58">
        <v>131.9</v>
      </c>
    </row>
    <row r="59" spans="2:3" x14ac:dyDescent="0.25">
      <c r="B59">
        <v>53</v>
      </c>
      <c r="C59">
        <v>137.4</v>
      </c>
    </row>
    <row r="60" spans="2:3" x14ac:dyDescent="0.25">
      <c r="B60">
        <v>54</v>
      </c>
      <c r="C60">
        <v>129.69999999999999</v>
      </c>
    </row>
    <row r="61" spans="2:3" x14ac:dyDescent="0.25">
      <c r="B61">
        <v>55</v>
      </c>
      <c r="C61">
        <v>126.5</v>
      </c>
    </row>
    <row r="62" spans="2:3" x14ac:dyDescent="0.25">
      <c r="B62">
        <v>56</v>
      </c>
      <c r="C62">
        <v>107.8</v>
      </c>
    </row>
    <row r="63" spans="2:3" x14ac:dyDescent="0.25">
      <c r="B63">
        <v>57</v>
      </c>
      <c r="C63">
        <v>118</v>
      </c>
    </row>
    <row r="64" spans="2:3" x14ac:dyDescent="0.25">
      <c r="B64">
        <v>58</v>
      </c>
      <c r="C64">
        <v>112.9</v>
      </c>
    </row>
    <row r="65" spans="2:3" x14ac:dyDescent="0.25">
      <c r="B65">
        <v>59</v>
      </c>
      <c r="C65">
        <v>126.3</v>
      </c>
    </row>
    <row r="66" spans="2:3" x14ac:dyDescent="0.25">
      <c r="B66">
        <v>60</v>
      </c>
      <c r="C66">
        <v>97.4</v>
      </c>
    </row>
    <row r="67" spans="2:3" x14ac:dyDescent="0.25">
      <c r="B67">
        <v>61</v>
      </c>
      <c r="C67">
        <v>99.9</v>
      </c>
    </row>
    <row r="68" spans="2:3" x14ac:dyDescent="0.25">
      <c r="B68">
        <v>62</v>
      </c>
      <c r="C68">
        <v>79</v>
      </c>
    </row>
    <row r="69" spans="2:3" x14ac:dyDescent="0.25">
      <c r="B69">
        <v>63</v>
      </c>
      <c r="C69">
        <v>140.9</v>
      </c>
    </row>
    <row r="70" spans="2:3" x14ac:dyDescent="0.25">
      <c r="B70">
        <v>64</v>
      </c>
      <c r="C70">
        <v>144.4</v>
      </c>
    </row>
    <row r="71" spans="2:3" x14ac:dyDescent="0.25">
      <c r="B71">
        <v>65</v>
      </c>
      <c r="C71">
        <v>126.9</v>
      </c>
    </row>
    <row r="72" spans="2:3" x14ac:dyDescent="0.25">
      <c r="B72">
        <v>66</v>
      </c>
      <c r="C72">
        <v>120.7</v>
      </c>
    </row>
    <row r="73" spans="2:3" x14ac:dyDescent="0.25">
      <c r="B73">
        <v>67</v>
      </c>
      <c r="C73">
        <v>105.7</v>
      </c>
    </row>
    <row r="74" spans="2:3" x14ac:dyDescent="0.25">
      <c r="B74">
        <v>68</v>
      </c>
      <c r="C74">
        <v>110.2</v>
      </c>
    </row>
    <row r="75" spans="2:3" x14ac:dyDescent="0.25">
      <c r="B75">
        <v>69</v>
      </c>
      <c r="C75">
        <v>104.3</v>
      </c>
    </row>
    <row r="76" spans="2:3" x14ac:dyDescent="0.25">
      <c r="B76">
        <v>70</v>
      </c>
      <c r="C76">
        <v>148.30000000000001</v>
      </c>
    </row>
    <row r="77" spans="2:3" x14ac:dyDescent="0.25">
      <c r="B77">
        <v>71</v>
      </c>
      <c r="C77">
        <v>117</v>
      </c>
    </row>
    <row r="78" spans="2:3" x14ac:dyDescent="0.25">
      <c r="B78">
        <v>72</v>
      </c>
      <c r="C78">
        <v>103</v>
      </c>
    </row>
    <row r="79" spans="2:3" x14ac:dyDescent="0.25">
      <c r="B79">
        <v>73</v>
      </c>
      <c r="C79">
        <v>94.4</v>
      </c>
    </row>
    <row r="80" spans="2:3" x14ac:dyDescent="0.25">
      <c r="B80">
        <v>74</v>
      </c>
      <c r="C80">
        <v>126.7</v>
      </c>
    </row>
    <row r="81" spans="2:3" x14ac:dyDescent="0.25">
      <c r="B81">
        <v>75</v>
      </c>
      <c r="C81">
        <v>107.3</v>
      </c>
    </row>
    <row r="82" spans="2:3" x14ac:dyDescent="0.25">
      <c r="B82">
        <v>76</v>
      </c>
      <c r="C82">
        <v>126.9</v>
      </c>
    </row>
    <row r="83" spans="2:3" x14ac:dyDescent="0.25">
      <c r="B83">
        <v>77</v>
      </c>
      <c r="C83">
        <v>103</v>
      </c>
    </row>
    <row r="84" spans="2:3" x14ac:dyDescent="0.25">
      <c r="B84">
        <v>78</v>
      </c>
      <c r="C84">
        <v>113.6</v>
      </c>
    </row>
    <row r="85" spans="2:3" x14ac:dyDescent="0.25">
      <c r="B85">
        <v>79</v>
      </c>
      <c r="C85">
        <v>122.7</v>
      </c>
    </row>
    <row r="86" spans="2:3" x14ac:dyDescent="0.25">
      <c r="B86">
        <v>80</v>
      </c>
      <c r="C86">
        <v>103.2</v>
      </c>
    </row>
    <row r="87" spans="2:3" x14ac:dyDescent="0.25">
      <c r="B87">
        <v>81</v>
      </c>
      <c r="C87">
        <v>123.9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7"/>
  <sheetViews>
    <sheetView workbookViewId="0">
      <selection activeCell="F11" sqref="F11"/>
    </sheetView>
  </sheetViews>
  <sheetFormatPr baseColWidth="10" defaultRowHeight="15" x14ac:dyDescent="0.25"/>
  <sheetData>
    <row r="1" spans="1:2" x14ac:dyDescent="0.25">
      <c r="A1" t="s">
        <v>68</v>
      </c>
    </row>
    <row r="2" spans="1:2" x14ac:dyDescent="0.25">
      <c r="A2" t="s">
        <v>67</v>
      </c>
    </row>
    <row r="3" spans="1:2" x14ac:dyDescent="0.25">
      <c r="A3" t="s">
        <v>14</v>
      </c>
    </row>
    <row r="4" spans="1:2" x14ac:dyDescent="0.25">
      <c r="A4" t="s">
        <v>110</v>
      </c>
    </row>
    <row r="5" spans="1:2" x14ac:dyDescent="0.25">
      <c r="A5" t="s">
        <v>111</v>
      </c>
    </row>
    <row r="6" spans="1:2" x14ac:dyDescent="0.25">
      <c r="A6" s="3" t="s">
        <v>2</v>
      </c>
    </row>
    <row r="7" spans="1:2" x14ac:dyDescent="0.25">
      <c r="A7" s="9" t="s">
        <v>70</v>
      </c>
      <c r="B7" s="9" t="s">
        <v>69</v>
      </c>
    </row>
    <row r="8" spans="1:2" x14ac:dyDescent="0.25">
      <c r="A8">
        <v>1</v>
      </c>
      <c r="B8" s="8">
        <v>725.9</v>
      </c>
    </row>
    <row r="9" spans="1:2" x14ac:dyDescent="0.25">
      <c r="A9">
        <v>2</v>
      </c>
      <c r="B9" s="8">
        <v>662.4</v>
      </c>
    </row>
    <row r="10" spans="1:2" x14ac:dyDescent="0.25">
      <c r="A10">
        <v>3</v>
      </c>
      <c r="B10" s="8">
        <v>913.4</v>
      </c>
    </row>
    <row r="11" spans="1:2" x14ac:dyDescent="0.25">
      <c r="A11">
        <v>4</v>
      </c>
      <c r="B11" s="8">
        <v>698.8</v>
      </c>
    </row>
    <row r="12" spans="1:2" x14ac:dyDescent="0.25">
      <c r="A12">
        <v>5</v>
      </c>
      <c r="B12" s="8">
        <v>835.4</v>
      </c>
    </row>
    <row r="13" spans="1:2" x14ac:dyDescent="0.25">
      <c r="A13">
        <v>6</v>
      </c>
      <c r="B13" s="8">
        <v>820.7</v>
      </c>
    </row>
    <row r="14" spans="1:2" x14ac:dyDescent="0.25">
      <c r="A14">
        <v>7</v>
      </c>
      <c r="B14" s="8">
        <v>707.1</v>
      </c>
    </row>
    <row r="15" spans="1:2" x14ac:dyDescent="0.25">
      <c r="A15">
        <v>8</v>
      </c>
      <c r="B15" s="8">
        <v>775.9</v>
      </c>
    </row>
    <row r="16" spans="1:2" x14ac:dyDescent="0.25">
      <c r="A16">
        <v>9</v>
      </c>
      <c r="B16" s="8">
        <v>786.6</v>
      </c>
    </row>
    <row r="17" spans="1:2" x14ac:dyDescent="0.25">
      <c r="A17">
        <v>10</v>
      </c>
      <c r="B17" s="8">
        <v>672.5</v>
      </c>
    </row>
    <row r="18" spans="1:2" x14ac:dyDescent="0.25">
      <c r="A18">
        <v>11</v>
      </c>
      <c r="B18" s="8">
        <v>714.7</v>
      </c>
    </row>
    <row r="19" spans="1:2" x14ac:dyDescent="0.25">
      <c r="A19">
        <v>12</v>
      </c>
      <c r="B19" s="8">
        <v>640.70000000000005</v>
      </c>
    </row>
    <row r="20" spans="1:2" x14ac:dyDescent="0.25">
      <c r="A20">
        <v>13</v>
      </c>
      <c r="B20" s="8">
        <v>748.1</v>
      </c>
    </row>
    <row r="21" spans="1:2" x14ac:dyDescent="0.25">
      <c r="A21">
        <v>14</v>
      </c>
      <c r="B21" s="8">
        <v>806</v>
      </c>
    </row>
    <row r="22" spans="1:2" x14ac:dyDescent="0.25">
      <c r="A22">
        <v>15</v>
      </c>
      <c r="B22" s="8">
        <v>876.3</v>
      </c>
    </row>
    <row r="23" spans="1:2" x14ac:dyDescent="0.25">
      <c r="A23">
        <v>16</v>
      </c>
      <c r="B23" s="8">
        <v>824.6</v>
      </c>
    </row>
    <row r="24" spans="1:2" x14ac:dyDescent="0.25">
      <c r="A24">
        <v>17</v>
      </c>
      <c r="B24" s="8">
        <v>844.5</v>
      </c>
    </row>
    <row r="25" spans="1:2" x14ac:dyDescent="0.25">
      <c r="A25">
        <v>18</v>
      </c>
      <c r="B25" s="8">
        <v>743.3</v>
      </c>
    </row>
    <row r="26" spans="1:2" x14ac:dyDescent="0.25">
      <c r="A26">
        <v>19</v>
      </c>
      <c r="B26" s="8">
        <v>738.3</v>
      </c>
    </row>
    <row r="27" spans="1:2" x14ac:dyDescent="0.25">
      <c r="A27">
        <v>20</v>
      </c>
      <c r="B27" s="8">
        <v>673.5</v>
      </c>
    </row>
    <row r="28" spans="1:2" x14ac:dyDescent="0.25">
      <c r="A28">
        <v>21</v>
      </c>
      <c r="B28" s="8">
        <v>488.9</v>
      </c>
    </row>
    <row r="29" spans="1:2" x14ac:dyDescent="0.25">
      <c r="A29">
        <v>22</v>
      </c>
      <c r="B29" s="8">
        <v>840.2</v>
      </c>
    </row>
    <row r="30" spans="1:2" x14ac:dyDescent="0.25">
      <c r="A30">
        <v>23</v>
      </c>
      <c r="B30" s="8">
        <v>767.2</v>
      </c>
    </row>
    <row r="31" spans="1:2" x14ac:dyDescent="0.25">
      <c r="A31">
        <v>24</v>
      </c>
      <c r="B31" s="8">
        <v>672</v>
      </c>
    </row>
    <row r="32" spans="1:2" x14ac:dyDescent="0.25">
      <c r="A32">
        <v>25</v>
      </c>
      <c r="B32" s="8">
        <v>547.6</v>
      </c>
    </row>
    <row r="33" spans="1:2" x14ac:dyDescent="0.25">
      <c r="A33">
        <v>26</v>
      </c>
      <c r="B33" s="8">
        <v>790.8</v>
      </c>
    </row>
    <row r="34" spans="1:2" x14ac:dyDescent="0.25">
      <c r="A34">
        <v>27</v>
      </c>
      <c r="B34" s="8">
        <v>1016</v>
      </c>
    </row>
    <row r="35" spans="1:2" x14ac:dyDescent="0.25">
      <c r="A35">
        <v>28</v>
      </c>
      <c r="B35" s="8">
        <v>1105</v>
      </c>
    </row>
    <row r="36" spans="1:2" x14ac:dyDescent="0.25">
      <c r="A36">
        <v>29</v>
      </c>
      <c r="B36" s="8">
        <v>890.2</v>
      </c>
    </row>
    <row r="37" spans="1:2" x14ac:dyDescent="0.25">
      <c r="A37">
        <v>30</v>
      </c>
      <c r="B37" s="8">
        <v>705</v>
      </c>
    </row>
    <row r="38" spans="1:2" x14ac:dyDescent="0.25">
      <c r="A38">
        <v>31</v>
      </c>
      <c r="B38" s="8">
        <v>640.5</v>
      </c>
    </row>
    <row r="39" spans="1:2" x14ac:dyDescent="0.25">
      <c r="A39">
        <v>32</v>
      </c>
      <c r="B39" s="8">
        <v>864.4</v>
      </c>
    </row>
    <row r="40" spans="1:2" x14ac:dyDescent="0.25">
      <c r="A40">
        <v>33</v>
      </c>
      <c r="B40" s="8">
        <v>704.4</v>
      </c>
    </row>
    <row r="41" spans="1:2" x14ac:dyDescent="0.25">
      <c r="A41">
        <v>34</v>
      </c>
      <c r="B41" s="8">
        <v>780.7</v>
      </c>
    </row>
    <row r="42" spans="1:2" x14ac:dyDescent="0.25">
      <c r="A42">
        <v>35</v>
      </c>
      <c r="B42" s="8">
        <v>575.1</v>
      </c>
    </row>
    <row r="43" spans="1:2" x14ac:dyDescent="0.25">
      <c r="A43">
        <v>36</v>
      </c>
      <c r="B43" s="8">
        <v>621.6</v>
      </c>
    </row>
    <row r="44" spans="1:2" x14ac:dyDescent="0.25">
      <c r="A44">
        <v>37</v>
      </c>
      <c r="B44" s="8">
        <v>997.9</v>
      </c>
    </row>
    <row r="45" spans="1:2" x14ac:dyDescent="0.25">
      <c r="A45">
        <v>38</v>
      </c>
      <c r="B45" s="8">
        <v>928.1</v>
      </c>
    </row>
    <row r="46" spans="1:2" x14ac:dyDescent="0.25">
      <c r="A46">
        <v>39</v>
      </c>
      <c r="B46" s="8">
        <v>781.9</v>
      </c>
    </row>
    <row r="47" spans="1:2" x14ac:dyDescent="0.25">
      <c r="A47">
        <v>40</v>
      </c>
      <c r="B47" s="8">
        <v>813.4</v>
      </c>
    </row>
    <row r="48" spans="1:2" x14ac:dyDescent="0.25">
      <c r="A48">
        <v>41</v>
      </c>
      <c r="B48" s="8">
        <v>845.7</v>
      </c>
    </row>
    <row r="49" spans="1:2" x14ac:dyDescent="0.25">
      <c r="A49">
        <v>42</v>
      </c>
      <c r="B49" s="8">
        <v>870.8</v>
      </c>
    </row>
    <row r="50" spans="1:2" x14ac:dyDescent="0.25">
      <c r="A50">
        <v>43</v>
      </c>
      <c r="B50" s="8">
        <v>839.7</v>
      </c>
    </row>
    <row r="51" spans="1:2" x14ac:dyDescent="0.25">
      <c r="A51">
        <v>44</v>
      </c>
      <c r="B51" s="8">
        <v>752.1</v>
      </c>
    </row>
    <row r="52" spans="1:2" x14ac:dyDescent="0.25">
      <c r="A52">
        <v>45</v>
      </c>
      <c r="B52" s="8">
        <v>601.1</v>
      </c>
    </row>
    <row r="53" spans="1:2" x14ac:dyDescent="0.25">
      <c r="A53">
        <v>46</v>
      </c>
      <c r="B53" s="8">
        <v>747.3</v>
      </c>
    </row>
    <row r="54" spans="1:2" x14ac:dyDescent="0.25">
      <c r="A54">
        <v>47</v>
      </c>
      <c r="B54" s="8">
        <v>855.6</v>
      </c>
    </row>
    <row r="55" spans="1:2" x14ac:dyDescent="0.25">
      <c r="A55">
        <v>48</v>
      </c>
      <c r="B55" s="8">
        <v>871.4</v>
      </c>
    </row>
    <row r="56" spans="1:2" x14ac:dyDescent="0.25">
      <c r="A56">
        <v>49</v>
      </c>
      <c r="B56" s="8">
        <v>788.8</v>
      </c>
    </row>
    <row r="57" spans="1:2" x14ac:dyDescent="0.25">
      <c r="A57">
        <v>50</v>
      </c>
      <c r="B57" s="8">
        <v>747.3</v>
      </c>
    </row>
    <row r="58" spans="1:2" x14ac:dyDescent="0.25">
      <c r="A58">
        <v>51</v>
      </c>
      <c r="B58" s="8">
        <v>823.9</v>
      </c>
    </row>
    <row r="59" spans="1:2" x14ac:dyDescent="0.25">
      <c r="A59">
        <v>52</v>
      </c>
      <c r="B59" s="8">
        <v>752.9</v>
      </c>
    </row>
    <row r="60" spans="1:2" x14ac:dyDescent="0.25">
      <c r="A60">
        <v>53</v>
      </c>
      <c r="B60" s="8">
        <v>846.1</v>
      </c>
    </row>
    <row r="61" spans="1:2" x14ac:dyDescent="0.25">
      <c r="A61">
        <v>54</v>
      </c>
      <c r="B61" s="8">
        <v>861.5</v>
      </c>
    </row>
    <row r="62" spans="1:2" x14ac:dyDescent="0.25">
      <c r="A62">
        <v>55</v>
      </c>
      <c r="B62" s="8">
        <v>792</v>
      </c>
    </row>
    <row r="63" spans="1:2" x14ac:dyDescent="0.25">
      <c r="A63">
        <v>56</v>
      </c>
      <c r="B63" s="8">
        <v>857.9</v>
      </c>
    </row>
    <row r="64" spans="1:2" x14ac:dyDescent="0.25">
      <c r="A64">
        <v>57</v>
      </c>
      <c r="B64" s="8">
        <v>763.5</v>
      </c>
    </row>
    <row r="65" spans="1:2" x14ac:dyDescent="0.25">
      <c r="A65">
        <v>58</v>
      </c>
      <c r="B65" s="8">
        <v>873.2</v>
      </c>
    </row>
    <row r="66" spans="1:2" x14ac:dyDescent="0.25">
      <c r="A66">
        <v>59</v>
      </c>
      <c r="B66" s="8">
        <v>488.9</v>
      </c>
    </row>
    <row r="67" spans="1:2" x14ac:dyDescent="0.25">
      <c r="A67">
        <v>60</v>
      </c>
      <c r="B67" s="8">
        <v>851.5</v>
      </c>
    </row>
    <row r="68" spans="1:2" x14ac:dyDescent="0.25">
      <c r="A68">
        <v>61</v>
      </c>
      <c r="B68" s="8">
        <v>934.2</v>
      </c>
    </row>
    <row r="69" spans="1:2" x14ac:dyDescent="0.25">
      <c r="A69">
        <v>62</v>
      </c>
      <c r="B69" s="8">
        <v>871.5</v>
      </c>
    </row>
    <row r="70" spans="1:2" x14ac:dyDescent="0.25">
      <c r="A70">
        <v>63</v>
      </c>
      <c r="B70" s="8">
        <v>616.4</v>
      </c>
    </row>
    <row r="71" spans="1:2" x14ac:dyDescent="0.25">
      <c r="A71">
        <v>64</v>
      </c>
      <c r="B71" s="8">
        <v>722.7</v>
      </c>
    </row>
    <row r="72" spans="1:2" x14ac:dyDescent="0.25">
      <c r="A72">
        <v>65</v>
      </c>
      <c r="B72" s="8">
        <v>704</v>
      </c>
    </row>
    <row r="73" spans="1:2" x14ac:dyDescent="0.25">
      <c r="A73">
        <v>66</v>
      </c>
      <c r="B73" s="8">
        <v>859.4</v>
      </c>
    </row>
    <row r="74" spans="1:2" x14ac:dyDescent="0.25">
      <c r="A74">
        <v>67</v>
      </c>
      <c r="B74" s="8">
        <v>960</v>
      </c>
    </row>
    <row r="75" spans="1:2" x14ac:dyDescent="0.25">
      <c r="A75">
        <v>68</v>
      </c>
      <c r="B75" s="8">
        <v>868.5</v>
      </c>
    </row>
    <row r="76" spans="1:2" x14ac:dyDescent="0.25">
      <c r="A76">
        <v>69</v>
      </c>
      <c r="B76" s="8">
        <v>798.5</v>
      </c>
    </row>
    <row r="77" spans="1:2" x14ac:dyDescent="0.25">
      <c r="A77">
        <v>70</v>
      </c>
      <c r="B77" s="8">
        <v>626.1</v>
      </c>
    </row>
    <row r="78" spans="1:2" x14ac:dyDescent="0.25">
      <c r="A78">
        <v>71</v>
      </c>
      <c r="B78" s="8">
        <v>882.4</v>
      </c>
    </row>
    <row r="79" spans="1:2" x14ac:dyDescent="0.25">
      <c r="A79">
        <v>72</v>
      </c>
      <c r="B79" s="8">
        <v>952</v>
      </c>
    </row>
    <row r="80" spans="1:2" x14ac:dyDescent="0.25">
      <c r="A80">
        <v>73</v>
      </c>
      <c r="B80" s="8">
        <v>625.4</v>
      </c>
    </row>
    <row r="81" spans="1:2" x14ac:dyDescent="0.25">
      <c r="A81">
        <v>74</v>
      </c>
      <c r="B81" s="8">
        <v>776.8</v>
      </c>
    </row>
    <row r="82" spans="1:2" x14ac:dyDescent="0.25">
      <c r="A82">
        <v>75</v>
      </c>
      <c r="B82" s="8">
        <v>908.4</v>
      </c>
    </row>
    <row r="83" spans="1:2" x14ac:dyDescent="0.25">
      <c r="A83">
        <v>76</v>
      </c>
      <c r="B83" s="8">
        <v>774.2</v>
      </c>
    </row>
    <row r="84" spans="1:2" x14ac:dyDescent="0.25">
      <c r="A84">
        <v>77</v>
      </c>
      <c r="B84" s="8">
        <v>967.1</v>
      </c>
    </row>
    <row r="85" spans="1:2" x14ac:dyDescent="0.25">
      <c r="A85">
        <v>78</v>
      </c>
      <c r="B85" s="8">
        <v>759.5</v>
      </c>
    </row>
    <row r="86" spans="1:2" x14ac:dyDescent="0.25">
      <c r="A86">
        <v>79</v>
      </c>
      <c r="B86" s="8">
        <v>740.7</v>
      </c>
    </row>
    <row r="87" spans="1:2" x14ac:dyDescent="0.25">
      <c r="A87">
        <v>80</v>
      </c>
      <c r="B87" s="8">
        <v>941.5</v>
      </c>
    </row>
    <row r="88" spans="1:2" x14ac:dyDescent="0.25">
      <c r="A88">
        <v>81</v>
      </c>
      <c r="B88" s="8">
        <v>888.2</v>
      </c>
    </row>
    <row r="89" spans="1:2" x14ac:dyDescent="0.25">
      <c r="A89">
        <v>82</v>
      </c>
      <c r="B89" s="8">
        <v>874.7</v>
      </c>
    </row>
    <row r="90" spans="1:2" x14ac:dyDescent="0.25">
      <c r="A90">
        <v>83</v>
      </c>
      <c r="B90" s="8">
        <v>681.1</v>
      </c>
    </row>
    <row r="91" spans="1:2" x14ac:dyDescent="0.25">
      <c r="A91">
        <v>84</v>
      </c>
      <c r="B91" s="8">
        <v>817.7</v>
      </c>
    </row>
    <row r="92" spans="1:2" x14ac:dyDescent="0.25">
      <c r="A92">
        <v>85</v>
      </c>
      <c r="B92" s="8">
        <v>1005.9</v>
      </c>
    </row>
    <row r="93" spans="1:2" x14ac:dyDescent="0.25">
      <c r="A93">
        <v>86</v>
      </c>
      <c r="B93" s="8">
        <v>912.6</v>
      </c>
    </row>
    <row r="94" spans="1:2" x14ac:dyDescent="0.25">
      <c r="A94">
        <v>87</v>
      </c>
      <c r="B94" s="8">
        <v>613.9</v>
      </c>
    </row>
    <row r="95" spans="1:2" x14ac:dyDescent="0.25">
      <c r="A95">
        <v>88</v>
      </c>
      <c r="B95" s="8">
        <v>1018.1</v>
      </c>
    </row>
    <row r="96" spans="1:2" x14ac:dyDescent="0.25">
      <c r="A96">
        <v>89</v>
      </c>
      <c r="B96" s="8">
        <v>930</v>
      </c>
    </row>
    <row r="97" spans="1:2" x14ac:dyDescent="0.25">
      <c r="A97">
        <v>90</v>
      </c>
      <c r="B97" s="8">
        <v>828.6</v>
      </c>
    </row>
    <row r="98" spans="1:2" x14ac:dyDescent="0.25">
      <c r="A98">
        <v>91</v>
      </c>
      <c r="B98" s="8">
        <v>769.4</v>
      </c>
    </row>
    <row r="99" spans="1:2" x14ac:dyDescent="0.25">
      <c r="A99">
        <v>92</v>
      </c>
      <c r="B99" s="8">
        <v>897.9</v>
      </c>
    </row>
    <row r="100" spans="1:2" x14ac:dyDescent="0.25">
      <c r="A100">
        <v>93</v>
      </c>
      <c r="B100" s="8">
        <v>874.6</v>
      </c>
    </row>
    <row r="101" spans="1:2" x14ac:dyDescent="0.25">
      <c r="A101">
        <v>94</v>
      </c>
      <c r="B101" s="8">
        <v>816.3</v>
      </c>
    </row>
    <row r="102" spans="1:2" x14ac:dyDescent="0.25">
      <c r="A102">
        <v>95</v>
      </c>
      <c r="B102" s="8">
        <v>586.20000000000005</v>
      </c>
    </row>
    <row r="103" spans="1:2" x14ac:dyDescent="0.25">
      <c r="A103">
        <v>96</v>
      </c>
      <c r="B103" s="8">
        <v>863.4</v>
      </c>
    </row>
    <row r="104" spans="1:2" x14ac:dyDescent="0.25">
      <c r="A104">
        <v>97</v>
      </c>
      <c r="B104" s="8">
        <v>506.6</v>
      </c>
    </row>
    <row r="105" spans="1:2" x14ac:dyDescent="0.25">
      <c r="A105">
        <v>98</v>
      </c>
      <c r="B105" s="8">
        <v>682</v>
      </c>
    </row>
    <row r="106" spans="1:2" x14ac:dyDescent="0.25">
      <c r="A106">
        <v>99</v>
      </c>
      <c r="B106" s="8">
        <v>782.4</v>
      </c>
    </row>
    <row r="107" spans="1:2" x14ac:dyDescent="0.25">
      <c r="A107">
        <v>100</v>
      </c>
      <c r="B107" s="8">
        <v>735.3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06"/>
  <sheetViews>
    <sheetView zoomScaleNormal="100" workbookViewId="0">
      <selection activeCell="F32" sqref="F32"/>
    </sheetView>
  </sheetViews>
  <sheetFormatPr baseColWidth="10" defaultRowHeight="15" x14ac:dyDescent="0.25"/>
  <cols>
    <col min="4" max="4" width="20.140625" customWidth="1"/>
    <col min="5" max="5" width="9.140625" customWidth="1"/>
  </cols>
  <sheetData>
    <row r="1" spans="1:9" x14ac:dyDescent="0.25">
      <c r="A1" t="s">
        <v>87</v>
      </c>
    </row>
    <row r="2" spans="1:9" x14ac:dyDescent="0.25">
      <c r="A2" t="s">
        <v>15</v>
      </c>
    </row>
    <row r="3" spans="1:9" x14ac:dyDescent="0.25">
      <c r="A3" t="s">
        <v>85</v>
      </c>
    </row>
    <row r="4" spans="1:9" x14ac:dyDescent="0.25">
      <c r="A4" t="s">
        <v>97</v>
      </c>
    </row>
    <row r="5" spans="1:9" x14ac:dyDescent="0.25">
      <c r="A5" s="3" t="s">
        <v>2</v>
      </c>
      <c r="D5" s="10" t="s">
        <v>71</v>
      </c>
      <c r="E5" s="10" t="s">
        <v>74</v>
      </c>
    </row>
    <row r="6" spans="1:9" x14ac:dyDescent="0.25">
      <c r="A6" t="s">
        <v>6</v>
      </c>
      <c r="B6" t="s">
        <v>71</v>
      </c>
      <c r="D6" s="11" t="s">
        <v>72</v>
      </c>
      <c r="E6" s="11">
        <v>1</v>
      </c>
    </row>
    <row r="7" spans="1:9" x14ac:dyDescent="0.25">
      <c r="A7">
        <v>1</v>
      </c>
      <c r="B7">
        <v>1</v>
      </c>
      <c r="D7" s="12" t="s">
        <v>73</v>
      </c>
      <c r="E7" s="12">
        <v>0</v>
      </c>
    </row>
    <row r="8" spans="1:9" x14ac:dyDescent="0.25">
      <c r="A8">
        <v>2</v>
      </c>
      <c r="B8">
        <v>1</v>
      </c>
    </row>
    <row r="9" spans="1:9" x14ac:dyDescent="0.25">
      <c r="A9">
        <v>3</v>
      </c>
      <c r="B9">
        <v>1</v>
      </c>
      <c r="D9" t="s">
        <v>23</v>
      </c>
    </row>
    <row r="10" spans="1:9" x14ac:dyDescent="0.25">
      <c r="A10">
        <v>4</v>
      </c>
      <c r="B10">
        <v>1</v>
      </c>
      <c r="D10" t="s">
        <v>24</v>
      </c>
      <c r="H10" s="7" t="s">
        <v>40</v>
      </c>
      <c r="I10" s="7">
        <f>_xlfn.T.INV.2T(0.01,11)</f>
        <v>3.1058065155392809</v>
      </c>
    </row>
    <row r="11" spans="1:9" ht="18" x14ac:dyDescent="0.35">
      <c r="A11">
        <v>5</v>
      </c>
      <c r="B11">
        <v>1</v>
      </c>
      <c r="E11" t="s">
        <v>25</v>
      </c>
      <c r="F11" s="13" t="s">
        <v>89</v>
      </c>
    </row>
    <row r="12" spans="1:9" ht="18" x14ac:dyDescent="0.35">
      <c r="A12">
        <v>6</v>
      </c>
      <c r="B12">
        <v>1</v>
      </c>
      <c r="E12" t="s">
        <v>26</v>
      </c>
      <c r="F12" s="13" t="s">
        <v>88</v>
      </c>
    </row>
    <row r="13" spans="1:9" x14ac:dyDescent="0.25">
      <c r="A13">
        <v>7</v>
      </c>
      <c r="B13">
        <v>1</v>
      </c>
      <c r="D13" t="s">
        <v>29</v>
      </c>
    </row>
    <row r="14" spans="1:9" x14ac:dyDescent="0.25">
      <c r="A14">
        <v>8</v>
      </c>
      <c r="B14">
        <v>1</v>
      </c>
      <c r="E14" s="4" t="s">
        <v>30</v>
      </c>
      <c r="F14" s="14">
        <f>1-97.5%</f>
        <v>2.5000000000000022E-2</v>
      </c>
    </row>
    <row r="15" spans="1:9" x14ac:dyDescent="0.25">
      <c r="A15">
        <v>9</v>
      </c>
      <c r="B15">
        <v>1</v>
      </c>
      <c r="D15" t="s">
        <v>31</v>
      </c>
      <c r="F15" s="7"/>
    </row>
    <row r="16" spans="1:9" x14ac:dyDescent="0.25">
      <c r="A16">
        <v>10</v>
      </c>
      <c r="B16">
        <v>1</v>
      </c>
      <c r="E16" t="s">
        <v>90</v>
      </c>
      <c r="F16" s="15">
        <f>(I17-0.65)/SQRT(0.65*(1-0.65)/I19)</f>
        <v>0</v>
      </c>
      <c r="H16" t="s">
        <v>17</v>
      </c>
    </row>
    <row r="17" spans="1:10" x14ac:dyDescent="0.25">
      <c r="A17">
        <v>11</v>
      </c>
      <c r="B17">
        <v>1</v>
      </c>
      <c r="H17" t="s">
        <v>86</v>
      </c>
      <c r="I17" s="15">
        <f>I18/I19</f>
        <v>0.65</v>
      </c>
    </row>
    <row r="18" spans="1:10" x14ac:dyDescent="0.25">
      <c r="A18">
        <v>12</v>
      </c>
      <c r="B18">
        <v>1</v>
      </c>
      <c r="H18" t="s">
        <v>91</v>
      </c>
      <c r="I18">
        <f>COUNTIF(B7:B206,1)</f>
        <v>130</v>
      </c>
    </row>
    <row r="19" spans="1:10" x14ac:dyDescent="0.25">
      <c r="A19">
        <v>13</v>
      </c>
      <c r="B19">
        <v>0</v>
      </c>
      <c r="H19" t="s">
        <v>35</v>
      </c>
      <c r="I19" s="15">
        <v>200</v>
      </c>
    </row>
    <row r="20" spans="1:10" x14ac:dyDescent="0.25">
      <c r="A20">
        <v>14</v>
      </c>
      <c r="B20">
        <v>1</v>
      </c>
      <c r="D20" t="s">
        <v>36</v>
      </c>
      <c r="E20" s="16" t="str">
        <f>IF(F21&gt;F14,"No se rechaza Ho","Rechazar Ho")</f>
        <v>No se rechaza Ho</v>
      </c>
    </row>
    <row r="21" spans="1:10" x14ac:dyDescent="0.25">
      <c r="A21">
        <v>15</v>
      </c>
      <c r="B21">
        <v>0</v>
      </c>
      <c r="E21" s="5" t="s">
        <v>37</v>
      </c>
      <c r="F21" s="15">
        <f>1-_xlfn.NORM.S.DIST(F16,1)</f>
        <v>0.5</v>
      </c>
    </row>
    <row r="22" spans="1:10" x14ac:dyDescent="0.25">
      <c r="A22">
        <v>16</v>
      </c>
      <c r="B22">
        <v>0</v>
      </c>
      <c r="F22" s="15"/>
    </row>
    <row r="23" spans="1:10" x14ac:dyDescent="0.25">
      <c r="A23">
        <v>17</v>
      </c>
      <c r="B23">
        <v>1</v>
      </c>
      <c r="D23" t="s">
        <v>39</v>
      </c>
    </row>
    <row r="24" spans="1:10" x14ac:dyDescent="0.25">
      <c r="A24">
        <v>18</v>
      </c>
      <c r="B24">
        <v>1</v>
      </c>
      <c r="E24" s="19" t="s">
        <v>92</v>
      </c>
      <c r="F24" s="19"/>
      <c r="G24" s="19"/>
      <c r="H24" s="19"/>
      <c r="I24" s="19"/>
      <c r="J24" s="19"/>
    </row>
    <row r="25" spans="1:10" x14ac:dyDescent="0.25">
      <c r="A25">
        <v>19</v>
      </c>
      <c r="B25">
        <v>1</v>
      </c>
      <c r="E25" s="19"/>
      <c r="F25" s="19"/>
      <c r="G25" s="19"/>
      <c r="H25" s="19"/>
      <c r="I25" s="19"/>
      <c r="J25" s="19"/>
    </row>
    <row r="26" spans="1:10" x14ac:dyDescent="0.25">
      <c r="A26">
        <v>20</v>
      </c>
      <c r="B26">
        <v>0</v>
      </c>
      <c r="E26" s="19"/>
      <c r="F26" s="19"/>
      <c r="G26" s="19"/>
      <c r="H26" s="19"/>
      <c r="I26" s="19"/>
      <c r="J26" s="19"/>
    </row>
    <row r="27" spans="1:10" x14ac:dyDescent="0.25">
      <c r="A27">
        <v>21</v>
      </c>
      <c r="B27">
        <v>0</v>
      </c>
    </row>
    <row r="28" spans="1:10" x14ac:dyDescent="0.25">
      <c r="A28">
        <v>22</v>
      </c>
      <c r="B28">
        <v>1</v>
      </c>
      <c r="D28" t="s">
        <v>93</v>
      </c>
    </row>
    <row r="29" spans="1:10" x14ac:dyDescent="0.25">
      <c r="A29">
        <v>23</v>
      </c>
      <c r="B29">
        <v>0</v>
      </c>
      <c r="E29" s="4" t="s">
        <v>42</v>
      </c>
      <c r="F29">
        <v>0.9</v>
      </c>
    </row>
    <row r="30" spans="1:10" x14ac:dyDescent="0.25">
      <c r="A30">
        <v>24</v>
      </c>
      <c r="B30">
        <v>1</v>
      </c>
      <c r="E30" t="s">
        <v>94</v>
      </c>
      <c r="F30" s="17">
        <f>_xlfn.NORM.S.INV(1-(1-F29)/2)</f>
        <v>1.6448536269514715</v>
      </c>
    </row>
    <row r="31" spans="1:10" x14ac:dyDescent="0.25">
      <c r="A31">
        <v>25</v>
      </c>
      <c r="B31">
        <v>1</v>
      </c>
      <c r="E31" t="s">
        <v>44</v>
      </c>
      <c r="F31">
        <f>F30*SQRT(I17*(1-I17)/I19)</f>
        <v>5.5475721527831701E-2</v>
      </c>
    </row>
    <row r="32" spans="1:10" x14ac:dyDescent="0.25">
      <c r="A32">
        <v>26</v>
      </c>
      <c r="B32">
        <v>0</v>
      </c>
      <c r="E32" t="s">
        <v>45</v>
      </c>
      <c r="F32">
        <f>I17-F31</f>
        <v>0.59452427847216827</v>
      </c>
    </row>
    <row r="33" spans="1:10" x14ac:dyDescent="0.25">
      <c r="A33">
        <v>27</v>
      </c>
      <c r="B33">
        <v>1</v>
      </c>
      <c r="E33" t="s">
        <v>46</v>
      </c>
      <c r="F33">
        <f>I17+F31</f>
        <v>0.70547572152783178</v>
      </c>
    </row>
    <row r="34" spans="1:10" x14ac:dyDescent="0.25">
      <c r="A34">
        <v>28</v>
      </c>
      <c r="B34">
        <v>1</v>
      </c>
      <c r="E34" t="s">
        <v>95</v>
      </c>
    </row>
    <row r="35" spans="1:10" x14ac:dyDescent="0.25">
      <c r="A35">
        <v>29</v>
      </c>
      <c r="B35">
        <v>1</v>
      </c>
      <c r="F35" s="19" t="s">
        <v>96</v>
      </c>
      <c r="G35" s="19"/>
      <c r="H35" s="19"/>
      <c r="I35" s="19"/>
      <c r="J35" s="19"/>
    </row>
    <row r="36" spans="1:10" x14ac:dyDescent="0.25">
      <c r="A36">
        <v>30</v>
      </c>
      <c r="B36">
        <v>1</v>
      </c>
      <c r="F36" s="19"/>
      <c r="G36" s="19"/>
      <c r="H36" s="19"/>
      <c r="I36" s="19"/>
      <c r="J36" s="19"/>
    </row>
    <row r="37" spans="1:10" x14ac:dyDescent="0.25">
      <c r="A37">
        <v>31</v>
      </c>
      <c r="B37">
        <v>1</v>
      </c>
    </row>
    <row r="38" spans="1:10" x14ac:dyDescent="0.25">
      <c r="A38">
        <v>32</v>
      </c>
      <c r="B38">
        <v>0</v>
      </c>
    </row>
    <row r="39" spans="1:10" x14ac:dyDescent="0.25">
      <c r="A39">
        <v>33</v>
      </c>
      <c r="B39">
        <v>1</v>
      </c>
    </row>
    <row r="40" spans="1:10" x14ac:dyDescent="0.25">
      <c r="A40">
        <v>34</v>
      </c>
      <c r="B40">
        <v>1</v>
      </c>
    </row>
    <row r="41" spans="1:10" x14ac:dyDescent="0.25">
      <c r="A41">
        <v>35</v>
      </c>
      <c r="B41">
        <v>0</v>
      </c>
    </row>
    <row r="42" spans="1:10" x14ac:dyDescent="0.25">
      <c r="A42">
        <v>36</v>
      </c>
      <c r="B42">
        <v>1</v>
      </c>
    </row>
    <row r="43" spans="1:10" x14ac:dyDescent="0.25">
      <c r="A43">
        <v>37</v>
      </c>
      <c r="B43">
        <v>1</v>
      </c>
    </row>
    <row r="44" spans="1:10" x14ac:dyDescent="0.25">
      <c r="A44">
        <v>38</v>
      </c>
      <c r="B44">
        <v>0</v>
      </c>
    </row>
    <row r="45" spans="1:10" x14ac:dyDescent="0.25">
      <c r="A45">
        <v>39</v>
      </c>
      <c r="B45">
        <v>0</v>
      </c>
    </row>
    <row r="46" spans="1:10" x14ac:dyDescent="0.25">
      <c r="A46">
        <v>40</v>
      </c>
      <c r="B46">
        <v>1</v>
      </c>
    </row>
    <row r="47" spans="1:10" x14ac:dyDescent="0.25">
      <c r="A47">
        <v>41</v>
      </c>
      <c r="B47">
        <v>1</v>
      </c>
    </row>
    <row r="48" spans="1:10" x14ac:dyDescent="0.25">
      <c r="A48">
        <v>42</v>
      </c>
      <c r="B48">
        <v>1</v>
      </c>
    </row>
    <row r="49" spans="1:2" x14ac:dyDescent="0.25">
      <c r="A49">
        <v>43</v>
      </c>
      <c r="B49">
        <v>1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1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1</v>
      </c>
    </row>
    <row r="54" spans="1:2" x14ac:dyDescent="0.25">
      <c r="A54">
        <v>48</v>
      </c>
      <c r="B54">
        <v>1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1</v>
      </c>
    </row>
    <row r="57" spans="1:2" x14ac:dyDescent="0.25">
      <c r="A57">
        <v>51</v>
      </c>
      <c r="B57">
        <v>1</v>
      </c>
    </row>
    <row r="58" spans="1:2" x14ac:dyDescent="0.25">
      <c r="A58">
        <v>52</v>
      </c>
      <c r="B58">
        <v>1</v>
      </c>
    </row>
    <row r="59" spans="1:2" x14ac:dyDescent="0.25">
      <c r="A59">
        <v>53</v>
      </c>
      <c r="B59">
        <v>1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1</v>
      </c>
    </row>
    <row r="63" spans="1:2" x14ac:dyDescent="0.25">
      <c r="A63">
        <v>57</v>
      </c>
      <c r="B63">
        <v>1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1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0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1</v>
      </c>
    </row>
    <row r="71" spans="1:2" x14ac:dyDescent="0.25">
      <c r="A71">
        <v>65</v>
      </c>
      <c r="B71">
        <v>1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1</v>
      </c>
    </row>
    <row r="74" spans="1:2" x14ac:dyDescent="0.25">
      <c r="A74">
        <v>68</v>
      </c>
      <c r="B74">
        <v>1</v>
      </c>
    </row>
    <row r="75" spans="1:2" x14ac:dyDescent="0.25">
      <c r="A75">
        <v>69</v>
      </c>
      <c r="B75">
        <v>1</v>
      </c>
    </row>
    <row r="76" spans="1:2" x14ac:dyDescent="0.25">
      <c r="A76">
        <v>70</v>
      </c>
      <c r="B76">
        <v>1</v>
      </c>
    </row>
    <row r="77" spans="1:2" x14ac:dyDescent="0.25">
      <c r="A77">
        <v>71</v>
      </c>
      <c r="B77">
        <v>1</v>
      </c>
    </row>
    <row r="78" spans="1:2" x14ac:dyDescent="0.25">
      <c r="A78">
        <v>72</v>
      </c>
      <c r="B78">
        <v>1</v>
      </c>
    </row>
    <row r="79" spans="1:2" x14ac:dyDescent="0.25">
      <c r="A79">
        <v>73</v>
      </c>
      <c r="B79">
        <v>1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1</v>
      </c>
    </row>
    <row r="82" spans="1:2" x14ac:dyDescent="0.25">
      <c r="A82">
        <v>76</v>
      </c>
      <c r="B82">
        <v>1</v>
      </c>
    </row>
    <row r="83" spans="1:2" x14ac:dyDescent="0.25">
      <c r="A83">
        <v>77</v>
      </c>
      <c r="B83">
        <v>1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1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1</v>
      </c>
    </row>
    <row r="88" spans="1:2" x14ac:dyDescent="0.25">
      <c r="A88">
        <v>82</v>
      </c>
      <c r="B88">
        <v>1</v>
      </c>
    </row>
    <row r="89" spans="1:2" x14ac:dyDescent="0.25">
      <c r="A89">
        <v>83</v>
      </c>
      <c r="B89">
        <v>0</v>
      </c>
    </row>
    <row r="90" spans="1:2" x14ac:dyDescent="0.25">
      <c r="A90">
        <v>84</v>
      </c>
      <c r="B90">
        <v>1</v>
      </c>
    </row>
    <row r="91" spans="1:2" x14ac:dyDescent="0.25">
      <c r="A91">
        <v>85</v>
      </c>
      <c r="B91">
        <v>1</v>
      </c>
    </row>
    <row r="92" spans="1:2" x14ac:dyDescent="0.25">
      <c r="A92">
        <v>86</v>
      </c>
      <c r="B92">
        <v>1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1</v>
      </c>
    </row>
    <row r="96" spans="1:2" x14ac:dyDescent="0.25">
      <c r="A96">
        <v>90</v>
      </c>
      <c r="B96">
        <v>1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1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1</v>
      </c>
    </row>
    <row r="103" spans="1:2" x14ac:dyDescent="0.25">
      <c r="A103">
        <v>97</v>
      </c>
      <c r="B103">
        <v>1</v>
      </c>
    </row>
    <row r="104" spans="1:2" x14ac:dyDescent="0.25">
      <c r="A104">
        <v>98</v>
      </c>
      <c r="B104">
        <v>1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1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1</v>
      </c>
    </row>
    <row r="109" spans="1:2" x14ac:dyDescent="0.25">
      <c r="A109">
        <v>103</v>
      </c>
      <c r="B109">
        <v>1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1</v>
      </c>
    </row>
    <row r="112" spans="1:2" x14ac:dyDescent="0.25">
      <c r="A112">
        <v>106</v>
      </c>
      <c r="B112">
        <v>1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1</v>
      </c>
    </row>
    <row r="115" spans="1:2" x14ac:dyDescent="0.25">
      <c r="A115">
        <v>109</v>
      </c>
      <c r="B115">
        <v>1</v>
      </c>
    </row>
    <row r="116" spans="1:2" x14ac:dyDescent="0.25">
      <c r="A116">
        <v>110</v>
      </c>
      <c r="B116">
        <v>1</v>
      </c>
    </row>
    <row r="117" spans="1:2" x14ac:dyDescent="0.25">
      <c r="A117">
        <v>111</v>
      </c>
      <c r="B117">
        <v>1</v>
      </c>
    </row>
    <row r="118" spans="1:2" x14ac:dyDescent="0.25">
      <c r="A118">
        <v>112</v>
      </c>
      <c r="B118">
        <v>1</v>
      </c>
    </row>
    <row r="119" spans="1:2" x14ac:dyDescent="0.25">
      <c r="A119">
        <v>113</v>
      </c>
      <c r="B119">
        <v>1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1</v>
      </c>
    </row>
    <row r="123" spans="1:2" x14ac:dyDescent="0.25">
      <c r="A123">
        <v>117</v>
      </c>
      <c r="B123">
        <v>1</v>
      </c>
    </row>
    <row r="124" spans="1:2" x14ac:dyDescent="0.25">
      <c r="A124">
        <v>118</v>
      </c>
      <c r="B124">
        <v>1</v>
      </c>
    </row>
    <row r="125" spans="1:2" x14ac:dyDescent="0.25">
      <c r="A125">
        <v>119</v>
      </c>
      <c r="B125">
        <v>1</v>
      </c>
    </row>
    <row r="126" spans="1:2" x14ac:dyDescent="0.25">
      <c r="A126">
        <v>120</v>
      </c>
      <c r="B126">
        <v>1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1</v>
      </c>
    </row>
    <row r="130" spans="1:2" x14ac:dyDescent="0.25">
      <c r="A130">
        <v>124</v>
      </c>
      <c r="B130">
        <v>1</v>
      </c>
    </row>
    <row r="131" spans="1:2" x14ac:dyDescent="0.25">
      <c r="A131">
        <v>125</v>
      </c>
      <c r="B131">
        <v>1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1</v>
      </c>
    </row>
    <row r="134" spans="1:2" x14ac:dyDescent="0.25">
      <c r="A134">
        <v>128</v>
      </c>
      <c r="B134">
        <v>1</v>
      </c>
    </row>
    <row r="135" spans="1:2" x14ac:dyDescent="0.25">
      <c r="A135">
        <v>129</v>
      </c>
      <c r="B135">
        <v>1</v>
      </c>
    </row>
    <row r="136" spans="1:2" x14ac:dyDescent="0.25">
      <c r="A136">
        <v>130</v>
      </c>
      <c r="B136">
        <v>1</v>
      </c>
    </row>
    <row r="137" spans="1:2" x14ac:dyDescent="0.25">
      <c r="A137">
        <v>131</v>
      </c>
      <c r="B137">
        <v>1</v>
      </c>
    </row>
    <row r="138" spans="1:2" x14ac:dyDescent="0.25">
      <c r="A138">
        <v>132</v>
      </c>
      <c r="B138">
        <v>1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1</v>
      </c>
    </row>
    <row r="142" spans="1:2" x14ac:dyDescent="0.25">
      <c r="A142">
        <v>136</v>
      </c>
      <c r="B142">
        <v>1</v>
      </c>
    </row>
    <row r="143" spans="1:2" x14ac:dyDescent="0.25">
      <c r="A143">
        <v>137</v>
      </c>
      <c r="B143">
        <v>1</v>
      </c>
    </row>
    <row r="144" spans="1:2" x14ac:dyDescent="0.25">
      <c r="A144">
        <v>138</v>
      </c>
      <c r="B144">
        <v>1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1</v>
      </c>
    </row>
    <row r="148" spans="1:2" x14ac:dyDescent="0.25">
      <c r="A148">
        <v>142</v>
      </c>
      <c r="B148">
        <v>1</v>
      </c>
    </row>
    <row r="149" spans="1:2" x14ac:dyDescent="0.25">
      <c r="A149">
        <v>143</v>
      </c>
      <c r="B149">
        <v>1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1</v>
      </c>
    </row>
    <row r="152" spans="1:2" x14ac:dyDescent="0.25">
      <c r="A152">
        <v>146</v>
      </c>
      <c r="B152">
        <v>1</v>
      </c>
    </row>
    <row r="153" spans="1:2" x14ac:dyDescent="0.25">
      <c r="A153">
        <v>147</v>
      </c>
      <c r="B153">
        <v>1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1</v>
      </c>
    </row>
    <row r="156" spans="1:2" x14ac:dyDescent="0.25">
      <c r="A156">
        <v>150</v>
      </c>
      <c r="B156">
        <v>1</v>
      </c>
    </row>
    <row r="157" spans="1:2" x14ac:dyDescent="0.25">
      <c r="A157">
        <v>151</v>
      </c>
      <c r="B157">
        <v>1</v>
      </c>
    </row>
    <row r="158" spans="1:2" x14ac:dyDescent="0.25">
      <c r="A158">
        <v>152</v>
      </c>
      <c r="B158">
        <v>1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1</v>
      </c>
    </row>
    <row r="164" spans="1:2" x14ac:dyDescent="0.25">
      <c r="A164">
        <v>158</v>
      </c>
      <c r="B164">
        <v>1</v>
      </c>
    </row>
    <row r="165" spans="1:2" x14ac:dyDescent="0.25">
      <c r="A165">
        <v>159</v>
      </c>
      <c r="B165">
        <v>1</v>
      </c>
    </row>
    <row r="166" spans="1:2" x14ac:dyDescent="0.25">
      <c r="A166">
        <v>160</v>
      </c>
      <c r="B166">
        <v>1</v>
      </c>
    </row>
    <row r="167" spans="1:2" x14ac:dyDescent="0.25">
      <c r="A167">
        <v>161</v>
      </c>
      <c r="B167">
        <v>1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0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1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1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1</v>
      </c>
    </row>
    <row r="176" spans="1:2" x14ac:dyDescent="0.25">
      <c r="A176">
        <v>170</v>
      </c>
      <c r="B176">
        <v>1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1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1</v>
      </c>
    </row>
    <row r="183" spans="1:2" x14ac:dyDescent="0.25">
      <c r="A183">
        <v>177</v>
      </c>
      <c r="B183">
        <v>1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1</v>
      </c>
    </row>
    <row r="186" spans="1:2" x14ac:dyDescent="0.25">
      <c r="A186">
        <v>180</v>
      </c>
      <c r="B186">
        <v>1</v>
      </c>
    </row>
    <row r="187" spans="1:2" x14ac:dyDescent="0.25">
      <c r="A187">
        <v>181</v>
      </c>
      <c r="B187">
        <v>1</v>
      </c>
    </row>
    <row r="188" spans="1:2" x14ac:dyDescent="0.25">
      <c r="A188">
        <v>182</v>
      </c>
      <c r="B188">
        <v>1</v>
      </c>
    </row>
    <row r="189" spans="1:2" x14ac:dyDescent="0.25">
      <c r="A189">
        <v>183</v>
      </c>
      <c r="B189">
        <v>1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1</v>
      </c>
    </row>
    <row r="194" spans="1:2" x14ac:dyDescent="0.25">
      <c r="A194">
        <v>188</v>
      </c>
      <c r="B194">
        <v>1</v>
      </c>
    </row>
    <row r="195" spans="1:2" x14ac:dyDescent="0.25">
      <c r="A195">
        <v>189</v>
      </c>
      <c r="B195">
        <v>1</v>
      </c>
    </row>
    <row r="196" spans="1:2" x14ac:dyDescent="0.25">
      <c r="A196">
        <v>190</v>
      </c>
      <c r="B196">
        <v>1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1</v>
      </c>
    </row>
    <row r="199" spans="1:2" x14ac:dyDescent="0.25">
      <c r="A199">
        <v>193</v>
      </c>
      <c r="B199">
        <v>1</v>
      </c>
    </row>
    <row r="200" spans="1:2" x14ac:dyDescent="0.25">
      <c r="A200">
        <v>194</v>
      </c>
      <c r="B200">
        <v>1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1</v>
      </c>
    </row>
    <row r="206" spans="1:2" x14ac:dyDescent="0.25">
      <c r="A206">
        <v>200</v>
      </c>
      <c r="B206">
        <v>0</v>
      </c>
    </row>
  </sheetData>
  <mergeCells count="2">
    <mergeCell ref="E24:J26"/>
    <mergeCell ref="F35:J3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256"/>
  <sheetViews>
    <sheetView workbookViewId="0">
      <selection activeCell="A3" sqref="A3:A4"/>
    </sheetView>
  </sheetViews>
  <sheetFormatPr baseColWidth="10" defaultRowHeight="15" x14ac:dyDescent="0.25"/>
  <cols>
    <col min="3" max="3" width="11.85546875" bestFit="1" customWidth="1"/>
    <col min="4" max="4" width="28" customWidth="1"/>
  </cols>
  <sheetData>
    <row r="1" spans="1:5" x14ac:dyDescent="0.25">
      <c r="A1" t="s">
        <v>75</v>
      </c>
    </row>
    <row r="2" spans="1:5" x14ac:dyDescent="0.25">
      <c r="A2" t="s">
        <v>16</v>
      </c>
    </row>
    <row r="3" spans="1:5" x14ac:dyDescent="0.25">
      <c r="A3" t="s">
        <v>98</v>
      </c>
    </row>
    <row r="4" spans="1:5" x14ac:dyDescent="0.25">
      <c r="A4" t="s">
        <v>99</v>
      </c>
    </row>
    <row r="5" spans="1:5" x14ac:dyDescent="0.25">
      <c r="A5" s="3" t="s">
        <v>2</v>
      </c>
    </row>
    <row r="6" spans="1:5" x14ac:dyDescent="0.25">
      <c r="A6" s="9" t="s">
        <v>76</v>
      </c>
      <c r="B6" s="9" t="s">
        <v>77</v>
      </c>
      <c r="D6" s="10" t="s">
        <v>71</v>
      </c>
      <c r="E6" s="10" t="s">
        <v>74</v>
      </c>
    </row>
    <row r="7" spans="1:5" x14ac:dyDescent="0.25">
      <c r="A7">
        <v>1</v>
      </c>
      <c r="B7">
        <v>0</v>
      </c>
      <c r="D7" s="11" t="s">
        <v>78</v>
      </c>
      <c r="E7" s="11">
        <v>1</v>
      </c>
    </row>
    <row r="8" spans="1:5" x14ac:dyDescent="0.25">
      <c r="A8">
        <v>2</v>
      </c>
      <c r="B8">
        <v>0</v>
      </c>
      <c r="D8" s="12" t="s">
        <v>79</v>
      </c>
      <c r="E8" s="12">
        <v>0</v>
      </c>
    </row>
    <row r="9" spans="1:5" x14ac:dyDescent="0.25">
      <c r="A9">
        <v>3</v>
      </c>
      <c r="B9">
        <v>1</v>
      </c>
    </row>
    <row r="10" spans="1:5" x14ac:dyDescent="0.25">
      <c r="A10">
        <v>4</v>
      </c>
      <c r="B10">
        <v>0</v>
      </c>
    </row>
    <row r="11" spans="1:5" x14ac:dyDescent="0.25">
      <c r="A11">
        <v>5</v>
      </c>
      <c r="B11">
        <v>0</v>
      </c>
    </row>
    <row r="12" spans="1:5" x14ac:dyDescent="0.25">
      <c r="A12">
        <v>6</v>
      </c>
      <c r="B12">
        <v>1</v>
      </c>
    </row>
    <row r="13" spans="1:5" x14ac:dyDescent="0.25">
      <c r="A13">
        <v>7</v>
      </c>
      <c r="B13">
        <v>0</v>
      </c>
    </row>
    <row r="14" spans="1:5" x14ac:dyDescent="0.25">
      <c r="A14">
        <v>8</v>
      </c>
      <c r="B14">
        <v>0</v>
      </c>
    </row>
    <row r="15" spans="1:5" x14ac:dyDescent="0.25">
      <c r="A15">
        <v>9</v>
      </c>
      <c r="B15">
        <v>1</v>
      </c>
    </row>
    <row r="16" spans="1:5" x14ac:dyDescent="0.25">
      <c r="A16">
        <v>10</v>
      </c>
      <c r="B16">
        <v>0</v>
      </c>
    </row>
    <row r="17" spans="1:2" x14ac:dyDescent="0.25">
      <c r="A17">
        <v>11</v>
      </c>
      <c r="B17">
        <v>1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1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1</v>
      </c>
    </row>
    <row r="23" spans="1:2" x14ac:dyDescent="0.25">
      <c r="A23">
        <v>17</v>
      </c>
      <c r="B23">
        <v>1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1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1</v>
      </c>
    </row>
    <row r="33" spans="1:2" x14ac:dyDescent="0.25">
      <c r="A33">
        <v>27</v>
      </c>
      <c r="B33">
        <v>1</v>
      </c>
    </row>
    <row r="34" spans="1:2" x14ac:dyDescent="0.25">
      <c r="A34">
        <v>28</v>
      </c>
      <c r="B34">
        <v>1</v>
      </c>
    </row>
    <row r="35" spans="1:2" x14ac:dyDescent="0.25">
      <c r="A35">
        <v>29</v>
      </c>
      <c r="B35">
        <v>1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0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1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1</v>
      </c>
    </row>
    <row r="44" spans="1:2" x14ac:dyDescent="0.25">
      <c r="A44">
        <v>38</v>
      </c>
      <c r="B44">
        <v>1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1</v>
      </c>
    </row>
    <row r="47" spans="1:2" x14ac:dyDescent="0.25">
      <c r="A47">
        <v>41</v>
      </c>
      <c r="B47">
        <v>1</v>
      </c>
    </row>
    <row r="48" spans="1:2" x14ac:dyDescent="0.25">
      <c r="A48">
        <v>42</v>
      </c>
      <c r="B48">
        <v>1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1</v>
      </c>
    </row>
    <row r="51" spans="1:2" x14ac:dyDescent="0.25">
      <c r="A51">
        <v>45</v>
      </c>
      <c r="B51">
        <v>1</v>
      </c>
    </row>
    <row r="52" spans="1:2" x14ac:dyDescent="0.25">
      <c r="A52">
        <v>46</v>
      </c>
      <c r="B52">
        <v>1</v>
      </c>
    </row>
    <row r="53" spans="1:2" x14ac:dyDescent="0.25">
      <c r="A53">
        <v>47</v>
      </c>
      <c r="B53">
        <v>1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1</v>
      </c>
    </row>
    <row r="57" spans="1:2" x14ac:dyDescent="0.25">
      <c r="A57">
        <v>51</v>
      </c>
      <c r="B57">
        <v>1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1</v>
      </c>
    </row>
    <row r="61" spans="1:2" x14ac:dyDescent="0.25">
      <c r="A61">
        <v>55</v>
      </c>
      <c r="B61">
        <v>1</v>
      </c>
    </row>
    <row r="62" spans="1:2" x14ac:dyDescent="0.25">
      <c r="A62">
        <v>56</v>
      </c>
      <c r="B62">
        <v>1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1</v>
      </c>
    </row>
    <row r="65" spans="1:2" x14ac:dyDescent="0.25">
      <c r="A65">
        <v>59</v>
      </c>
      <c r="B65">
        <v>1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1</v>
      </c>
    </row>
    <row r="68" spans="1:2" x14ac:dyDescent="0.25">
      <c r="A68">
        <v>62</v>
      </c>
      <c r="B68">
        <v>1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1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1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1</v>
      </c>
    </row>
    <row r="77" spans="1:2" x14ac:dyDescent="0.25">
      <c r="A77">
        <v>71</v>
      </c>
      <c r="B77">
        <v>1</v>
      </c>
    </row>
    <row r="78" spans="1:2" x14ac:dyDescent="0.25">
      <c r="A78">
        <v>72</v>
      </c>
      <c r="B78">
        <v>1</v>
      </c>
    </row>
    <row r="79" spans="1:2" x14ac:dyDescent="0.25">
      <c r="A79">
        <v>73</v>
      </c>
      <c r="B79">
        <v>1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0</v>
      </c>
    </row>
    <row r="82" spans="1:2" x14ac:dyDescent="0.25">
      <c r="A82">
        <v>76</v>
      </c>
      <c r="B82">
        <v>1</v>
      </c>
    </row>
    <row r="83" spans="1:2" x14ac:dyDescent="0.25">
      <c r="A83">
        <v>77</v>
      </c>
      <c r="B83">
        <v>0</v>
      </c>
    </row>
    <row r="84" spans="1:2" x14ac:dyDescent="0.25">
      <c r="A84">
        <v>78</v>
      </c>
      <c r="B84">
        <v>1</v>
      </c>
    </row>
    <row r="85" spans="1:2" x14ac:dyDescent="0.25">
      <c r="A85">
        <v>79</v>
      </c>
      <c r="B85">
        <v>1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1</v>
      </c>
    </row>
    <row r="89" spans="1:2" x14ac:dyDescent="0.25">
      <c r="A89">
        <v>83</v>
      </c>
      <c r="B89">
        <v>1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1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1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0</v>
      </c>
    </row>
    <row r="99" spans="1:2" x14ac:dyDescent="0.25">
      <c r="A99">
        <v>93</v>
      </c>
      <c r="B99">
        <v>1</v>
      </c>
    </row>
    <row r="100" spans="1:2" x14ac:dyDescent="0.25">
      <c r="A100">
        <v>94</v>
      </c>
      <c r="B100">
        <v>1</v>
      </c>
    </row>
    <row r="101" spans="1:2" x14ac:dyDescent="0.25">
      <c r="A101">
        <v>95</v>
      </c>
      <c r="B101">
        <v>1</v>
      </c>
    </row>
    <row r="102" spans="1:2" x14ac:dyDescent="0.25">
      <c r="A102">
        <v>96</v>
      </c>
      <c r="B102">
        <v>1</v>
      </c>
    </row>
    <row r="103" spans="1:2" x14ac:dyDescent="0.25">
      <c r="A103">
        <v>97</v>
      </c>
      <c r="B103">
        <v>1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1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1</v>
      </c>
    </row>
    <row r="111" spans="1:2" x14ac:dyDescent="0.25">
      <c r="A111">
        <v>105</v>
      </c>
      <c r="B111">
        <v>0</v>
      </c>
    </row>
    <row r="112" spans="1:2" x14ac:dyDescent="0.25">
      <c r="A112">
        <v>106</v>
      </c>
      <c r="B112">
        <v>1</v>
      </c>
    </row>
    <row r="113" spans="1:2" x14ac:dyDescent="0.25">
      <c r="A113">
        <v>107</v>
      </c>
      <c r="B113">
        <v>0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1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1</v>
      </c>
    </row>
    <row r="123" spans="1:2" x14ac:dyDescent="0.25">
      <c r="A123">
        <v>117</v>
      </c>
      <c r="B123">
        <v>1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1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1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1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1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1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1</v>
      </c>
    </row>
    <row r="147" spans="1:2" x14ac:dyDescent="0.25">
      <c r="A147">
        <v>141</v>
      </c>
      <c r="B147">
        <v>1</v>
      </c>
    </row>
    <row r="148" spans="1:2" x14ac:dyDescent="0.25">
      <c r="A148">
        <v>142</v>
      </c>
      <c r="B148">
        <v>1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1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1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0</v>
      </c>
    </row>
    <row r="156" spans="1:2" x14ac:dyDescent="0.25">
      <c r="A156">
        <v>150</v>
      </c>
      <c r="B156">
        <v>1</v>
      </c>
    </row>
    <row r="157" spans="1:2" x14ac:dyDescent="0.25">
      <c r="A157">
        <v>151</v>
      </c>
      <c r="B157">
        <v>1</v>
      </c>
    </row>
    <row r="158" spans="1:2" x14ac:dyDescent="0.25">
      <c r="A158">
        <v>152</v>
      </c>
      <c r="B158">
        <v>1</v>
      </c>
    </row>
    <row r="159" spans="1:2" x14ac:dyDescent="0.25">
      <c r="A159">
        <v>153</v>
      </c>
      <c r="B159">
        <v>1</v>
      </c>
    </row>
    <row r="160" spans="1:2" x14ac:dyDescent="0.25">
      <c r="A160">
        <v>154</v>
      </c>
      <c r="B160">
        <v>1</v>
      </c>
    </row>
    <row r="161" spans="1:2" x14ac:dyDescent="0.25">
      <c r="A161">
        <v>155</v>
      </c>
      <c r="B161">
        <v>1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1</v>
      </c>
    </row>
    <row r="164" spans="1:2" x14ac:dyDescent="0.25">
      <c r="A164">
        <v>158</v>
      </c>
      <c r="B164">
        <v>0</v>
      </c>
    </row>
    <row r="165" spans="1:2" x14ac:dyDescent="0.25">
      <c r="A165">
        <v>159</v>
      </c>
      <c r="B165">
        <v>1</v>
      </c>
    </row>
    <row r="166" spans="1:2" x14ac:dyDescent="0.25">
      <c r="A166">
        <v>160</v>
      </c>
      <c r="B166">
        <v>1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1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1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1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1</v>
      </c>
    </row>
    <row r="179" spans="1:2" x14ac:dyDescent="0.25">
      <c r="A179">
        <v>173</v>
      </c>
      <c r="B179">
        <v>1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1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1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1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1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1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1</v>
      </c>
    </row>
    <row r="195" spans="1:2" x14ac:dyDescent="0.25">
      <c r="A195">
        <v>189</v>
      </c>
      <c r="B195">
        <v>1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1</v>
      </c>
    </row>
    <row r="199" spans="1:2" x14ac:dyDescent="0.25">
      <c r="A199">
        <v>193</v>
      </c>
      <c r="B199">
        <v>1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0</v>
      </c>
    </row>
    <row r="202" spans="1:2" x14ac:dyDescent="0.25">
      <c r="A202">
        <v>196</v>
      </c>
      <c r="B202">
        <v>1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1</v>
      </c>
    </row>
    <row r="206" spans="1:2" x14ac:dyDescent="0.25">
      <c r="A206">
        <v>200</v>
      </c>
      <c r="B206">
        <v>1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1</v>
      </c>
    </row>
    <row r="211" spans="1:2" x14ac:dyDescent="0.25">
      <c r="A211">
        <v>205</v>
      </c>
      <c r="B211">
        <v>1</v>
      </c>
    </row>
    <row r="212" spans="1:2" x14ac:dyDescent="0.25">
      <c r="A212">
        <v>206</v>
      </c>
      <c r="B212">
        <v>1</v>
      </c>
    </row>
    <row r="213" spans="1:2" x14ac:dyDescent="0.25">
      <c r="A213">
        <v>207</v>
      </c>
      <c r="B213">
        <v>1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1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1</v>
      </c>
    </row>
    <row r="219" spans="1:2" x14ac:dyDescent="0.25">
      <c r="A219">
        <v>213</v>
      </c>
      <c r="B219">
        <v>1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0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1</v>
      </c>
    </row>
    <row r="224" spans="1:2" x14ac:dyDescent="0.25">
      <c r="A224">
        <v>218</v>
      </c>
      <c r="B224">
        <v>1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1</v>
      </c>
    </row>
    <row r="227" spans="1:2" x14ac:dyDescent="0.25">
      <c r="A227">
        <v>221</v>
      </c>
      <c r="B227">
        <v>0</v>
      </c>
    </row>
    <row r="228" spans="1:2" x14ac:dyDescent="0.25">
      <c r="A228">
        <v>222</v>
      </c>
      <c r="B228">
        <v>0</v>
      </c>
    </row>
    <row r="229" spans="1:2" x14ac:dyDescent="0.25">
      <c r="A229">
        <v>223</v>
      </c>
      <c r="B229">
        <v>1</v>
      </c>
    </row>
    <row r="230" spans="1:2" x14ac:dyDescent="0.25">
      <c r="A230">
        <v>224</v>
      </c>
      <c r="B230">
        <v>1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1</v>
      </c>
    </row>
    <row r="233" spans="1:2" x14ac:dyDescent="0.25">
      <c r="A233">
        <v>227</v>
      </c>
      <c r="B233">
        <v>1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1</v>
      </c>
    </row>
    <row r="236" spans="1:2" x14ac:dyDescent="0.25">
      <c r="A236">
        <v>230</v>
      </c>
      <c r="B236">
        <v>1</v>
      </c>
    </row>
    <row r="237" spans="1:2" x14ac:dyDescent="0.25">
      <c r="A237">
        <v>231</v>
      </c>
      <c r="B237">
        <v>1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0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1</v>
      </c>
    </row>
    <row r="244" spans="1:2" x14ac:dyDescent="0.25">
      <c r="A244">
        <v>238</v>
      </c>
      <c r="B244">
        <v>1</v>
      </c>
    </row>
    <row r="245" spans="1:2" x14ac:dyDescent="0.25">
      <c r="A245">
        <v>239</v>
      </c>
      <c r="B245">
        <v>1</v>
      </c>
    </row>
    <row r="246" spans="1:2" x14ac:dyDescent="0.25">
      <c r="A246">
        <v>240</v>
      </c>
      <c r="B246">
        <v>1</v>
      </c>
    </row>
    <row r="247" spans="1:2" x14ac:dyDescent="0.25">
      <c r="A247">
        <v>241</v>
      </c>
      <c r="B247">
        <v>1</v>
      </c>
    </row>
    <row r="248" spans="1:2" x14ac:dyDescent="0.25">
      <c r="A248">
        <v>242</v>
      </c>
      <c r="B248">
        <v>1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1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1</v>
      </c>
    </row>
    <row r="254" spans="1:2" x14ac:dyDescent="0.25">
      <c r="A254">
        <v>248</v>
      </c>
      <c r="B254">
        <v>1</v>
      </c>
    </row>
    <row r="255" spans="1:2" x14ac:dyDescent="0.25">
      <c r="A255">
        <v>249</v>
      </c>
      <c r="B255">
        <v>1</v>
      </c>
    </row>
    <row r="256" spans="1:2" x14ac:dyDescent="0.25">
      <c r="A256">
        <v>250</v>
      </c>
      <c r="B256">
        <v>0</v>
      </c>
    </row>
  </sheetData>
  <sortState xmlns:xlrd2="http://schemas.microsoft.com/office/spreadsheetml/2017/richdata2" ref="B7:C256">
    <sortCondition ref="C7:C256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06"/>
  <sheetViews>
    <sheetView workbookViewId="0">
      <selection activeCell="A3" sqref="A3:A4"/>
    </sheetView>
  </sheetViews>
  <sheetFormatPr baseColWidth="10" defaultRowHeight="15" x14ac:dyDescent="0.25"/>
  <cols>
    <col min="4" max="4" width="14" bestFit="1" customWidth="1"/>
  </cols>
  <sheetData>
    <row r="1" spans="1:5" x14ac:dyDescent="0.25">
      <c r="A1" t="s">
        <v>18</v>
      </c>
    </row>
    <row r="2" spans="1:5" x14ac:dyDescent="0.25">
      <c r="A2" t="s">
        <v>19</v>
      </c>
    </row>
    <row r="3" spans="1:5" x14ac:dyDescent="0.25">
      <c r="A3" t="s">
        <v>98</v>
      </c>
    </row>
    <row r="4" spans="1:5" x14ac:dyDescent="0.25">
      <c r="A4" t="s">
        <v>99</v>
      </c>
    </row>
    <row r="5" spans="1:5" x14ac:dyDescent="0.25">
      <c r="A5" s="3" t="s">
        <v>2</v>
      </c>
    </row>
    <row r="6" spans="1:5" x14ac:dyDescent="0.25">
      <c r="A6" t="s">
        <v>80</v>
      </c>
      <c r="B6" t="s">
        <v>81</v>
      </c>
      <c r="D6" s="10" t="s">
        <v>81</v>
      </c>
      <c r="E6" s="10" t="s">
        <v>74</v>
      </c>
    </row>
    <row r="7" spans="1:5" x14ac:dyDescent="0.25">
      <c r="A7">
        <v>1</v>
      </c>
      <c r="B7">
        <v>1</v>
      </c>
      <c r="D7" s="11" t="s">
        <v>82</v>
      </c>
      <c r="E7" s="11">
        <v>1</v>
      </c>
    </row>
    <row r="8" spans="1:5" x14ac:dyDescent="0.25">
      <c r="A8">
        <v>2</v>
      </c>
      <c r="B8">
        <v>0</v>
      </c>
      <c r="D8" s="12" t="s">
        <v>83</v>
      </c>
      <c r="E8" s="12">
        <v>0</v>
      </c>
    </row>
    <row r="9" spans="1:5" x14ac:dyDescent="0.25">
      <c r="A9">
        <v>3</v>
      </c>
      <c r="B9">
        <v>0</v>
      </c>
    </row>
    <row r="10" spans="1:5" x14ac:dyDescent="0.25">
      <c r="A10">
        <v>4</v>
      </c>
      <c r="B10">
        <v>0</v>
      </c>
    </row>
    <row r="11" spans="1:5" x14ac:dyDescent="0.25">
      <c r="A11">
        <v>5</v>
      </c>
      <c r="B11">
        <v>0</v>
      </c>
    </row>
    <row r="12" spans="1:5" x14ac:dyDescent="0.25">
      <c r="A12">
        <v>6</v>
      </c>
      <c r="B12">
        <v>0</v>
      </c>
    </row>
    <row r="13" spans="1:5" x14ac:dyDescent="0.25">
      <c r="A13">
        <v>7</v>
      </c>
      <c r="B13">
        <v>0</v>
      </c>
    </row>
    <row r="14" spans="1:5" x14ac:dyDescent="0.25">
      <c r="A14">
        <v>8</v>
      </c>
      <c r="B14">
        <v>0</v>
      </c>
    </row>
    <row r="15" spans="1:5" x14ac:dyDescent="0.25">
      <c r="A15">
        <v>9</v>
      </c>
      <c r="B15">
        <v>0</v>
      </c>
    </row>
    <row r="16" spans="1:5" x14ac:dyDescent="0.25">
      <c r="A16">
        <v>10</v>
      </c>
      <c r="B16">
        <v>1</v>
      </c>
    </row>
    <row r="17" spans="1:2" x14ac:dyDescent="0.25">
      <c r="A17">
        <v>11</v>
      </c>
      <c r="B17">
        <v>0</v>
      </c>
    </row>
    <row r="18" spans="1:2" x14ac:dyDescent="0.25">
      <c r="A18">
        <v>12</v>
      </c>
      <c r="B18">
        <v>0</v>
      </c>
    </row>
    <row r="19" spans="1:2" x14ac:dyDescent="0.25">
      <c r="A19">
        <v>13</v>
      </c>
      <c r="B19">
        <v>0</v>
      </c>
    </row>
    <row r="20" spans="1:2" x14ac:dyDescent="0.25">
      <c r="A20">
        <v>14</v>
      </c>
      <c r="B20">
        <v>0</v>
      </c>
    </row>
    <row r="21" spans="1:2" x14ac:dyDescent="0.25">
      <c r="A21">
        <v>15</v>
      </c>
      <c r="B21">
        <v>0</v>
      </c>
    </row>
    <row r="22" spans="1:2" x14ac:dyDescent="0.25">
      <c r="A22">
        <v>16</v>
      </c>
      <c r="B22">
        <v>1</v>
      </c>
    </row>
    <row r="23" spans="1:2" x14ac:dyDescent="0.25">
      <c r="A23">
        <v>17</v>
      </c>
      <c r="B23">
        <v>0</v>
      </c>
    </row>
    <row r="24" spans="1:2" x14ac:dyDescent="0.25">
      <c r="A24">
        <v>18</v>
      </c>
      <c r="B24">
        <v>0</v>
      </c>
    </row>
    <row r="25" spans="1:2" x14ac:dyDescent="0.25">
      <c r="A25">
        <v>19</v>
      </c>
      <c r="B25">
        <v>0</v>
      </c>
    </row>
    <row r="26" spans="1:2" x14ac:dyDescent="0.25">
      <c r="A26">
        <v>20</v>
      </c>
      <c r="B26">
        <v>0</v>
      </c>
    </row>
    <row r="27" spans="1:2" x14ac:dyDescent="0.25">
      <c r="A27">
        <v>21</v>
      </c>
      <c r="B27">
        <v>0</v>
      </c>
    </row>
    <row r="28" spans="1:2" x14ac:dyDescent="0.25">
      <c r="A28">
        <v>22</v>
      </c>
      <c r="B28">
        <v>0</v>
      </c>
    </row>
    <row r="29" spans="1:2" x14ac:dyDescent="0.25">
      <c r="A29">
        <v>23</v>
      </c>
      <c r="B29">
        <v>0</v>
      </c>
    </row>
    <row r="30" spans="1:2" x14ac:dyDescent="0.25">
      <c r="A30">
        <v>24</v>
      </c>
      <c r="B30">
        <v>0</v>
      </c>
    </row>
    <row r="31" spans="1:2" x14ac:dyDescent="0.25">
      <c r="A31">
        <v>25</v>
      </c>
      <c r="B31">
        <v>0</v>
      </c>
    </row>
    <row r="32" spans="1:2" x14ac:dyDescent="0.25">
      <c r="A32">
        <v>26</v>
      </c>
      <c r="B32">
        <v>0</v>
      </c>
    </row>
    <row r="33" spans="1:2" x14ac:dyDescent="0.25">
      <c r="A33">
        <v>27</v>
      </c>
      <c r="B33">
        <v>0</v>
      </c>
    </row>
    <row r="34" spans="1:2" x14ac:dyDescent="0.25">
      <c r="A34">
        <v>28</v>
      </c>
      <c r="B34">
        <v>0</v>
      </c>
    </row>
    <row r="35" spans="1:2" x14ac:dyDescent="0.25">
      <c r="A35">
        <v>29</v>
      </c>
      <c r="B35">
        <v>0</v>
      </c>
    </row>
    <row r="36" spans="1:2" x14ac:dyDescent="0.25">
      <c r="A36">
        <v>30</v>
      </c>
      <c r="B36">
        <v>0</v>
      </c>
    </row>
    <row r="37" spans="1:2" x14ac:dyDescent="0.25">
      <c r="A37">
        <v>31</v>
      </c>
      <c r="B37">
        <v>0</v>
      </c>
    </row>
    <row r="38" spans="1:2" x14ac:dyDescent="0.25">
      <c r="A38">
        <v>32</v>
      </c>
      <c r="B38">
        <v>1</v>
      </c>
    </row>
    <row r="39" spans="1:2" x14ac:dyDescent="0.25">
      <c r="A39">
        <v>33</v>
      </c>
      <c r="B39">
        <v>0</v>
      </c>
    </row>
    <row r="40" spans="1:2" x14ac:dyDescent="0.25">
      <c r="A40">
        <v>34</v>
      </c>
      <c r="B40">
        <v>0</v>
      </c>
    </row>
    <row r="41" spans="1:2" x14ac:dyDescent="0.25">
      <c r="A41">
        <v>35</v>
      </c>
      <c r="B41">
        <v>0</v>
      </c>
    </row>
    <row r="42" spans="1:2" x14ac:dyDescent="0.25">
      <c r="A42">
        <v>36</v>
      </c>
      <c r="B42">
        <v>0</v>
      </c>
    </row>
    <row r="43" spans="1:2" x14ac:dyDescent="0.25">
      <c r="A43">
        <v>37</v>
      </c>
      <c r="B43">
        <v>0</v>
      </c>
    </row>
    <row r="44" spans="1:2" x14ac:dyDescent="0.25">
      <c r="A44">
        <v>38</v>
      </c>
      <c r="B44">
        <v>0</v>
      </c>
    </row>
    <row r="45" spans="1:2" x14ac:dyDescent="0.25">
      <c r="A45">
        <v>39</v>
      </c>
      <c r="B45">
        <v>0</v>
      </c>
    </row>
    <row r="46" spans="1:2" x14ac:dyDescent="0.25">
      <c r="A46">
        <v>40</v>
      </c>
      <c r="B46">
        <v>0</v>
      </c>
    </row>
    <row r="47" spans="1:2" x14ac:dyDescent="0.25">
      <c r="A47">
        <v>41</v>
      </c>
      <c r="B47">
        <v>0</v>
      </c>
    </row>
    <row r="48" spans="1:2" x14ac:dyDescent="0.25">
      <c r="A48">
        <v>42</v>
      </c>
      <c r="B48">
        <v>0</v>
      </c>
    </row>
    <row r="49" spans="1:2" x14ac:dyDescent="0.25">
      <c r="A49">
        <v>43</v>
      </c>
      <c r="B49">
        <v>0</v>
      </c>
    </row>
    <row r="50" spans="1:2" x14ac:dyDescent="0.25">
      <c r="A50">
        <v>44</v>
      </c>
      <c r="B50">
        <v>0</v>
      </c>
    </row>
    <row r="51" spans="1:2" x14ac:dyDescent="0.25">
      <c r="A51">
        <v>45</v>
      </c>
      <c r="B51">
        <v>0</v>
      </c>
    </row>
    <row r="52" spans="1:2" x14ac:dyDescent="0.25">
      <c r="A52">
        <v>46</v>
      </c>
      <c r="B52">
        <v>0</v>
      </c>
    </row>
    <row r="53" spans="1:2" x14ac:dyDescent="0.25">
      <c r="A53">
        <v>47</v>
      </c>
      <c r="B53">
        <v>0</v>
      </c>
    </row>
    <row r="54" spans="1:2" x14ac:dyDescent="0.25">
      <c r="A54">
        <v>48</v>
      </c>
      <c r="B54">
        <v>0</v>
      </c>
    </row>
    <row r="55" spans="1:2" x14ac:dyDescent="0.25">
      <c r="A55">
        <v>49</v>
      </c>
      <c r="B55">
        <v>0</v>
      </c>
    </row>
    <row r="56" spans="1:2" x14ac:dyDescent="0.25">
      <c r="A56">
        <v>50</v>
      </c>
      <c r="B56">
        <v>0</v>
      </c>
    </row>
    <row r="57" spans="1:2" x14ac:dyDescent="0.25">
      <c r="A57">
        <v>51</v>
      </c>
      <c r="B57">
        <v>1</v>
      </c>
    </row>
    <row r="58" spans="1:2" x14ac:dyDescent="0.25">
      <c r="A58">
        <v>52</v>
      </c>
      <c r="B58">
        <v>0</v>
      </c>
    </row>
    <row r="59" spans="1:2" x14ac:dyDescent="0.25">
      <c r="A59">
        <v>53</v>
      </c>
      <c r="B59">
        <v>0</v>
      </c>
    </row>
    <row r="60" spans="1:2" x14ac:dyDescent="0.25">
      <c r="A60">
        <v>54</v>
      </c>
      <c r="B60">
        <v>0</v>
      </c>
    </row>
    <row r="61" spans="1:2" x14ac:dyDescent="0.25">
      <c r="A61">
        <v>55</v>
      </c>
      <c r="B61">
        <v>0</v>
      </c>
    </row>
    <row r="62" spans="1:2" x14ac:dyDescent="0.25">
      <c r="A62">
        <v>56</v>
      </c>
      <c r="B62">
        <v>0</v>
      </c>
    </row>
    <row r="63" spans="1:2" x14ac:dyDescent="0.25">
      <c r="A63">
        <v>57</v>
      </c>
      <c r="B63">
        <v>0</v>
      </c>
    </row>
    <row r="64" spans="1:2" x14ac:dyDescent="0.25">
      <c r="A64">
        <v>58</v>
      </c>
      <c r="B64">
        <v>0</v>
      </c>
    </row>
    <row r="65" spans="1:2" x14ac:dyDescent="0.25">
      <c r="A65">
        <v>59</v>
      </c>
      <c r="B65">
        <v>0</v>
      </c>
    </row>
    <row r="66" spans="1:2" x14ac:dyDescent="0.25">
      <c r="A66">
        <v>60</v>
      </c>
      <c r="B66">
        <v>0</v>
      </c>
    </row>
    <row r="67" spans="1:2" x14ac:dyDescent="0.25">
      <c r="A67">
        <v>61</v>
      </c>
      <c r="B67">
        <v>0</v>
      </c>
    </row>
    <row r="68" spans="1:2" x14ac:dyDescent="0.25">
      <c r="A68">
        <v>62</v>
      </c>
      <c r="B68">
        <v>1</v>
      </c>
    </row>
    <row r="69" spans="1:2" x14ac:dyDescent="0.25">
      <c r="A69">
        <v>63</v>
      </c>
      <c r="B69">
        <v>0</v>
      </c>
    </row>
    <row r="70" spans="1:2" x14ac:dyDescent="0.25">
      <c r="A70">
        <v>64</v>
      </c>
      <c r="B70">
        <v>0</v>
      </c>
    </row>
    <row r="71" spans="1:2" x14ac:dyDescent="0.25">
      <c r="A71">
        <v>65</v>
      </c>
      <c r="B71">
        <v>0</v>
      </c>
    </row>
    <row r="72" spans="1:2" x14ac:dyDescent="0.25">
      <c r="A72">
        <v>66</v>
      </c>
      <c r="B72">
        <v>0</v>
      </c>
    </row>
    <row r="73" spans="1:2" x14ac:dyDescent="0.25">
      <c r="A73">
        <v>67</v>
      </c>
      <c r="B73">
        <v>0</v>
      </c>
    </row>
    <row r="74" spans="1:2" x14ac:dyDescent="0.25">
      <c r="A74">
        <v>68</v>
      </c>
      <c r="B74">
        <v>0</v>
      </c>
    </row>
    <row r="75" spans="1:2" x14ac:dyDescent="0.25">
      <c r="A75">
        <v>69</v>
      </c>
      <c r="B75">
        <v>0</v>
      </c>
    </row>
    <row r="76" spans="1:2" x14ac:dyDescent="0.25">
      <c r="A76">
        <v>70</v>
      </c>
      <c r="B76">
        <v>0</v>
      </c>
    </row>
    <row r="77" spans="1:2" x14ac:dyDescent="0.25">
      <c r="A77">
        <v>71</v>
      </c>
      <c r="B77">
        <v>0</v>
      </c>
    </row>
    <row r="78" spans="1:2" x14ac:dyDescent="0.25">
      <c r="A78">
        <v>72</v>
      </c>
      <c r="B78">
        <v>0</v>
      </c>
    </row>
    <row r="79" spans="1:2" x14ac:dyDescent="0.25">
      <c r="A79">
        <v>73</v>
      </c>
      <c r="B79">
        <v>0</v>
      </c>
    </row>
    <row r="80" spans="1:2" x14ac:dyDescent="0.25">
      <c r="A80">
        <v>74</v>
      </c>
      <c r="B80">
        <v>0</v>
      </c>
    </row>
    <row r="81" spans="1:2" x14ac:dyDescent="0.25">
      <c r="A81">
        <v>75</v>
      </c>
      <c r="B81">
        <v>1</v>
      </c>
    </row>
    <row r="82" spans="1:2" x14ac:dyDescent="0.25">
      <c r="A82">
        <v>76</v>
      </c>
      <c r="B82">
        <v>0</v>
      </c>
    </row>
    <row r="83" spans="1:2" x14ac:dyDescent="0.25">
      <c r="A83">
        <v>77</v>
      </c>
      <c r="B83">
        <v>1</v>
      </c>
    </row>
    <row r="84" spans="1:2" x14ac:dyDescent="0.25">
      <c r="A84">
        <v>78</v>
      </c>
      <c r="B84">
        <v>0</v>
      </c>
    </row>
    <row r="85" spans="1:2" x14ac:dyDescent="0.25">
      <c r="A85">
        <v>79</v>
      </c>
      <c r="B85">
        <v>0</v>
      </c>
    </row>
    <row r="86" spans="1:2" x14ac:dyDescent="0.25">
      <c r="A86">
        <v>80</v>
      </c>
      <c r="B86">
        <v>0</v>
      </c>
    </row>
    <row r="87" spans="1:2" x14ac:dyDescent="0.25">
      <c r="A87">
        <v>81</v>
      </c>
      <c r="B87">
        <v>0</v>
      </c>
    </row>
    <row r="88" spans="1:2" x14ac:dyDescent="0.25">
      <c r="A88">
        <v>82</v>
      </c>
      <c r="B88">
        <v>1</v>
      </c>
    </row>
    <row r="89" spans="1:2" x14ac:dyDescent="0.25">
      <c r="A89">
        <v>83</v>
      </c>
      <c r="B89">
        <v>1</v>
      </c>
    </row>
    <row r="90" spans="1:2" x14ac:dyDescent="0.25">
      <c r="A90">
        <v>84</v>
      </c>
      <c r="B90">
        <v>0</v>
      </c>
    </row>
    <row r="91" spans="1:2" x14ac:dyDescent="0.25">
      <c r="A91">
        <v>85</v>
      </c>
      <c r="B91">
        <v>0</v>
      </c>
    </row>
    <row r="92" spans="1:2" x14ac:dyDescent="0.25">
      <c r="A92">
        <v>86</v>
      </c>
      <c r="B92">
        <v>0</v>
      </c>
    </row>
    <row r="93" spans="1:2" x14ac:dyDescent="0.25">
      <c r="A93">
        <v>87</v>
      </c>
      <c r="B93">
        <v>0</v>
      </c>
    </row>
    <row r="94" spans="1:2" x14ac:dyDescent="0.25">
      <c r="A94">
        <v>88</v>
      </c>
      <c r="B94">
        <v>0</v>
      </c>
    </row>
    <row r="95" spans="1:2" x14ac:dyDescent="0.25">
      <c r="A95">
        <v>89</v>
      </c>
      <c r="B95">
        <v>0</v>
      </c>
    </row>
    <row r="96" spans="1:2" x14ac:dyDescent="0.25">
      <c r="A96">
        <v>90</v>
      </c>
      <c r="B96">
        <v>0</v>
      </c>
    </row>
    <row r="97" spans="1:2" x14ac:dyDescent="0.25">
      <c r="A97">
        <v>91</v>
      </c>
      <c r="B97">
        <v>0</v>
      </c>
    </row>
    <row r="98" spans="1:2" x14ac:dyDescent="0.25">
      <c r="A98">
        <v>92</v>
      </c>
      <c r="B98">
        <v>1</v>
      </c>
    </row>
    <row r="99" spans="1:2" x14ac:dyDescent="0.25">
      <c r="A99">
        <v>93</v>
      </c>
      <c r="B99">
        <v>1</v>
      </c>
    </row>
    <row r="100" spans="1:2" x14ac:dyDescent="0.25">
      <c r="A100">
        <v>94</v>
      </c>
      <c r="B100">
        <v>0</v>
      </c>
    </row>
    <row r="101" spans="1:2" x14ac:dyDescent="0.25">
      <c r="A101">
        <v>95</v>
      </c>
      <c r="B101">
        <v>0</v>
      </c>
    </row>
    <row r="102" spans="1:2" x14ac:dyDescent="0.25">
      <c r="A102">
        <v>96</v>
      </c>
      <c r="B102">
        <v>0</v>
      </c>
    </row>
    <row r="103" spans="1:2" x14ac:dyDescent="0.25">
      <c r="A103">
        <v>97</v>
      </c>
      <c r="B103">
        <v>0</v>
      </c>
    </row>
    <row r="104" spans="1:2" x14ac:dyDescent="0.25">
      <c r="A104">
        <v>98</v>
      </c>
      <c r="B104">
        <v>0</v>
      </c>
    </row>
    <row r="105" spans="1:2" x14ac:dyDescent="0.25">
      <c r="A105">
        <v>99</v>
      </c>
      <c r="B105">
        <v>0</v>
      </c>
    </row>
    <row r="106" spans="1:2" x14ac:dyDescent="0.25">
      <c r="A106">
        <v>100</v>
      </c>
      <c r="B106">
        <v>0</v>
      </c>
    </row>
    <row r="107" spans="1:2" x14ac:dyDescent="0.25">
      <c r="A107">
        <v>101</v>
      </c>
      <c r="B107">
        <v>0</v>
      </c>
    </row>
    <row r="108" spans="1:2" x14ac:dyDescent="0.25">
      <c r="A108">
        <v>102</v>
      </c>
      <c r="B108">
        <v>0</v>
      </c>
    </row>
    <row r="109" spans="1:2" x14ac:dyDescent="0.25">
      <c r="A109">
        <v>103</v>
      </c>
      <c r="B109">
        <v>0</v>
      </c>
    </row>
    <row r="110" spans="1:2" x14ac:dyDescent="0.25">
      <c r="A110">
        <v>104</v>
      </c>
      <c r="B110">
        <v>0</v>
      </c>
    </row>
    <row r="111" spans="1:2" x14ac:dyDescent="0.25">
      <c r="A111">
        <v>105</v>
      </c>
      <c r="B111">
        <v>1</v>
      </c>
    </row>
    <row r="112" spans="1:2" x14ac:dyDescent="0.25">
      <c r="A112">
        <v>106</v>
      </c>
      <c r="B112">
        <v>0</v>
      </c>
    </row>
    <row r="113" spans="1:2" x14ac:dyDescent="0.25">
      <c r="A113">
        <v>107</v>
      </c>
      <c r="B113">
        <v>1</v>
      </c>
    </row>
    <row r="114" spans="1:2" x14ac:dyDescent="0.25">
      <c r="A114">
        <v>108</v>
      </c>
      <c r="B114">
        <v>0</v>
      </c>
    </row>
    <row r="115" spans="1:2" x14ac:dyDescent="0.25">
      <c r="A115">
        <v>109</v>
      </c>
      <c r="B115">
        <v>0</v>
      </c>
    </row>
    <row r="116" spans="1:2" x14ac:dyDescent="0.25">
      <c r="A116">
        <v>110</v>
      </c>
      <c r="B116">
        <v>0</v>
      </c>
    </row>
    <row r="117" spans="1:2" x14ac:dyDescent="0.25">
      <c r="A117">
        <v>111</v>
      </c>
      <c r="B117">
        <v>0</v>
      </c>
    </row>
    <row r="118" spans="1:2" x14ac:dyDescent="0.25">
      <c r="A118">
        <v>112</v>
      </c>
      <c r="B118">
        <v>0</v>
      </c>
    </row>
    <row r="119" spans="1:2" x14ac:dyDescent="0.25">
      <c r="A119">
        <v>113</v>
      </c>
      <c r="B119">
        <v>0</v>
      </c>
    </row>
    <row r="120" spans="1:2" x14ac:dyDescent="0.25">
      <c r="A120">
        <v>114</v>
      </c>
      <c r="B120">
        <v>0</v>
      </c>
    </row>
    <row r="121" spans="1:2" x14ac:dyDescent="0.25">
      <c r="A121">
        <v>115</v>
      </c>
      <c r="B121">
        <v>0</v>
      </c>
    </row>
    <row r="122" spans="1:2" x14ac:dyDescent="0.25">
      <c r="A122">
        <v>116</v>
      </c>
      <c r="B122">
        <v>0</v>
      </c>
    </row>
    <row r="123" spans="1:2" x14ac:dyDescent="0.25">
      <c r="A123">
        <v>117</v>
      </c>
      <c r="B123">
        <v>0</v>
      </c>
    </row>
    <row r="124" spans="1:2" x14ac:dyDescent="0.25">
      <c r="A124">
        <v>118</v>
      </c>
      <c r="B124">
        <v>0</v>
      </c>
    </row>
    <row r="125" spans="1:2" x14ac:dyDescent="0.25">
      <c r="A125">
        <v>119</v>
      </c>
      <c r="B125">
        <v>0</v>
      </c>
    </row>
    <row r="126" spans="1:2" x14ac:dyDescent="0.25">
      <c r="A126">
        <v>120</v>
      </c>
      <c r="B126">
        <v>0</v>
      </c>
    </row>
    <row r="127" spans="1:2" x14ac:dyDescent="0.25">
      <c r="A127">
        <v>121</v>
      </c>
      <c r="B127">
        <v>0</v>
      </c>
    </row>
    <row r="128" spans="1:2" x14ac:dyDescent="0.25">
      <c r="A128">
        <v>122</v>
      </c>
      <c r="B128">
        <v>0</v>
      </c>
    </row>
    <row r="129" spans="1:2" x14ac:dyDescent="0.25">
      <c r="A129">
        <v>123</v>
      </c>
      <c r="B129">
        <v>0</v>
      </c>
    </row>
    <row r="130" spans="1:2" x14ac:dyDescent="0.25">
      <c r="A130">
        <v>124</v>
      </c>
      <c r="B130">
        <v>1</v>
      </c>
    </row>
    <row r="131" spans="1:2" x14ac:dyDescent="0.25">
      <c r="A131">
        <v>125</v>
      </c>
      <c r="B131">
        <v>0</v>
      </c>
    </row>
    <row r="132" spans="1:2" x14ac:dyDescent="0.25">
      <c r="A132">
        <v>126</v>
      </c>
      <c r="B132">
        <v>0</v>
      </c>
    </row>
    <row r="133" spans="1:2" x14ac:dyDescent="0.25">
      <c r="A133">
        <v>127</v>
      </c>
      <c r="B133">
        <v>0</v>
      </c>
    </row>
    <row r="134" spans="1:2" x14ac:dyDescent="0.25">
      <c r="A134">
        <v>128</v>
      </c>
      <c r="B134">
        <v>0</v>
      </c>
    </row>
    <row r="135" spans="1:2" x14ac:dyDescent="0.25">
      <c r="A135">
        <v>129</v>
      </c>
      <c r="B135">
        <v>0</v>
      </c>
    </row>
    <row r="136" spans="1:2" x14ac:dyDescent="0.25">
      <c r="A136">
        <v>130</v>
      </c>
      <c r="B136">
        <v>0</v>
      </c>
    </row>
    <row r="137" spans="1:2" x14ac:dyDescent="0.25">
      <c r="A137">
        <v>131</v>
      </c>
      <c r="B137">
        <v>0</v>
      </c>
    </row>
    <row r="138" spans="1:2" x14ac:dyDescent="0.25">
      <c r="A138">
        <v>132</v>
      </c>
      <c r="B138">
        <v>1</v>
      </c>
    </row>
    <row r="139" spans="1:2" x14ac:dyDescent="0.25">
      <c r="A139">
        <v>133</v>
      </c>
      <c r="B139">
        <v>0</v>
      </c>
    </row>
    <row r="140" spans="1:2" x14ac:dyDescent="0.25">
      <c r="A140">
        <v>134</v>
      </c>
      <c r="B140">
        <v>0</v>
      </c>
    </row>
    <row r="141" spans="1:2" x14ac:dyDescent="0.25">
      <c r="A141">
        <v>135</v>
      </c>
      <c r="B141">
        <v>0</v>
      </c>
    </row>
    <row r="142" spans="1:2" x14ac:dyDescent="0.25">
      <c r="A142">
        <v>136</v>
      </c>
      <c r="B142">
        <v>0</v>
      </c>
    </row>
    <row r="143" spans="1:2" x14ac:dyDescent="0.25">
      <c r="A143">
        <v>137</v>
      </c>
      <c r="B143">
        <v>0</v>
      </c>
    </row>
    <row r="144" spans="1:2" x14ac:dyDescent="0.25">
      <c r="A144">
        <v>138</v>
      </c>
      <c r="B144">
        <v>0</v>
      </c>
    </row>
    <row r="145" spans="1:2" x14ac:dyDescent="0.25">
      <c r="A145">
        <v>139</v>
      </c>
      <c r="B145">
        <v>0</v>
      </c>
    </row>
    <row r="146" spans="1:2" x14ac:dyDescent="0.25">
      <c r="A146">
        <v>140</v>
      </c>
      <c r="B146">
        <v>0</v>
      </c>
    </row>
    <row r="147" spans="1:2" x14ac:dyDescent="0.25">
      <c r="A147">
        <v>141</v>
      </c>
      <c r="B147">
        <v>0</v>
      </c>
    </row>
    <row r="148" spans="1:2" x14ac:dyDescent="0.25">
      <c r="A148">
        <v>142</v>
      </c>
      <c r="B148">
        <v>0</v>
      </c>
    </row>
    <row r="149" spans="1:2" x14ac:dyDescent="0.25">
      <c r="A149">
        <v>143</v>
      </c>
      <c r="B149">
        <v>0</v>
      </c>
    </row>
    <row r="150" spans="1:2" x14ac:dyDescent="0.25">
      <c r="A150">
        <v>144</v>
      </c>
      <c r="B150">
        <v>0</v>
      </c>
    </row>
    <row r="151" spans="1:2" x14ac:dyDescent="0.25">
      <c r="A151">
        <v>145</v>
      </c>
      <c r="B151">
        <v>0</v>
      </c>
    </row>
    <row r="152" spans="1:2" x14ac:dyDescent="0.25">
      <c r="A152">
        <v>146</v>
      </c>
      <c r="B152">
        <v>0</v>
      </c>
    </row>
    <row r="153" spans="1:2" x14ac:dyDescent="0.25">
      <c r="A153">
        <v>147</v>
      </c>
      <c r="B153">
        <v>0</v>
      </c>
    </row>
    <row r="154" spans="1:2" x14ac:dyDescent="0.25">
      <c r="A154">
        <v>148</v>
      </c>
      <c r="B154">
        <v>0</v>
      </c>
    </row>
    <row r="155" spans="1:2" x14ac:dyDescent="0.25">
      <c r="A155">
        <v>149</v>
      </c>
      <c r="B155">
        <v>1</v>
      </c>
    </row>
    <row r="156" spans="1:2" x14ac:dyDescent="0.25">
      <c r="A156">
        <v>150</v>
      </c>
      <c r="B156">
        <v>0</v>
      </c>
    </row>
    <row r="157" spans="1:2" x14ac:dyDescent="0.25">
      <c r="A157">
        <v>151</v>
      </c>
      <c r="B157">
        <v>0</v>
      </c>
    </row>
    <row r="158" spans="1:2" x14ac:dyDescent="0.25">
      <c r="A158">
        <v>152</v>
      </c>
      <c r="B158">
        <v>0</v>
      </c>
    </row>
    <row r="159" spans="1:2" x14ac:dyDescent="0.25">
      <c r="A159">
        <v>153</v>
      </c>
      <c r="B159">
        <v>0</v>
      </c>
    </row>
    <row r="160" spans="1:2" x14ac:dyDescent="0.25">
      <c r="A160">
        <v>154</v>
      </c>
      <c r="B160">
        <v>0</v>
      </c>
    </row>
    <row r="161" spans="1:2" x14ac:dyDescent="0.25">
      <c r="A161">
        <v>155</v>
      </c>
      <c r="B161">
        <v>0</v>
      </c>
    </row>
    <row r="162" spans="1:2" x14ac:dyDescent="0.25">
      <c r="A162">
        <v>156</v>
      </c>
      <c r="B162">
        <v>0</v>
      </c>
    </row>
    <row r="163" spans="1:2" x14ac:dyDescent="0.25">
      <c r="A163">
        <v>157</v>
      </c>
      <c r="B163">
        <v>0</v>
      </c>
    </row>
    <row r="164" spans="1:2" x14ac:dyDescent="0.25">
      <c r="A164">
        <v>158</v>
      </c>
      <c r="B164">
        <v>1</v>
      </c>
    </row>
    <row r="165" spans="1:2" x14ac:dyDescent="0.25">
      <c r="A165">
        <v>159</v>
      </c>
      <c r="B165">
        <v>0</v>
      </c>
    </row>
    <row r="166" spans="1:2" x14ac:dyDescent="0.25">
      <c r="A166">
        <v>160</v>
      </c>
      <c r="B166">
        <v>0</v>
      </c>
    </row>
    <row r="167" spans="1:2" x14ac:dyDescent="0.25">
      <c r="A167">
        <v>161</v>
      </c>
      <c r="B167">
        <v>0</v>
      </c>
    </row>
    <row r="168" spans="1:2" x14ac:dyDescent="0.25">
      <c r="A168">
        <v>162</v>
      </c>
      <c r="B168">
        <v>0</v>
      </c>
    </row>
    <row r="169" spans="1:2" x14ac:dyDescent="0.25">
      <c r="A169">
        <v>163</v>
      </c>
      <c r="B169">
        <v>1</v>
      </c>
    </row>
    <row r="170" spans="1:2" x14ac:dyDescent="0.25">
      <c r="A170">
        <v>164</v>
      </c>
      <c r="B170">
        <v>0</v>
      </c>
    </row>
    <row r="171" spans="1:2" x14ac:dyDescent="0.25">
      <c r="A171">
        <v>165</v>
      </c>
      <c r="B171">
        <v>0</v>
      </c>
    </row>
    <row r="172" spans="1:2" x14ac:dyDescent="0.25">
      <c r="A172">
        <v>166</v>
      </c>
      <c r="B172">
        <v>0</v>
      </c>
    </row>
    <row r="173" spans="1:2" x14ac:dyDescent="0.25">
      <c r="A173">
        <v>167</v>
      </c>
      <c r="B173">
        <v>0</v>
      </c>
    </row>
    <row r="174" spans="1:2" x14ac:dyDescent="0.25">
      <c r="A174">
        <v>168</v>
      </c>
      <c r="B174">
        <v>0</v>
      </c>
    </row>
    <row r="175" spans="1:2" x14ac:dyDescent="0.25">
      <c r="A175">
        <v>169</v>
      </c>
      <c r="B175">
        <v>0</v>
      </c>
    </row>
    <row r="176" spans="1:2" x14ac:dyDescent="0.25">
      <c r="A176">
        <v>170</v>
      </c>
      <c r="B176">
        <v>0</v>
      </c>
    </row>
    <row r="177" spans="1:2" x14ac:dyDescent="0.25">
      <c r="A177">
        <v>171</v>
      </c>
      <c r="B177">
        <v>0</v>
      </c>
    </row>
    <row r="178" spans="1:2" x14ac:dyDescent="0.25">
      <c r="A178">
        <v>172</v>
      </c>
      <c r="B178">
        <v>0</v>
      </c>
    </row>
    <row r="179" spans="1:2" x14ac:dyDescent="0.25">
      <c r="A179">
        <v>173</v>
      </c>
      <c r="B179">
        <v>0</v>
      </c>
    </row>
    <row r="180" spans="1:2" x14ac:dyDescent="0.25">
      <c r="A180">
        <v>174</v>
      </c>
      <c r="B180">
        <v>0</v>
      </c>
    </row>
    <row r="181" spans="1:2" x14ac:dyDescent="0.25">
      <c r="A181">
        <v>175</v>
      </c>
      <c r="B181">
        <v>0</v>
      </c>
    </row>
    <row r="182" spans="1:2" x14ac:dyDescent="0.25">
      <c r="A182">
        <v>176</v>
      </c>
      <c r="B182">
        <v>0</v>
      </c>
    </row>
    <row r="183" spans="1:2" x14ac:dyDescent="0.25">
      <c r="A183">
        <v>177</v>
      </c>
      <c r="B183">
        <v>0</v>
      </c>
    </row>
    <row r="184" spans="1:2" x14ac:dyDescent="0.25">
      <c r="A184">
        <v>178</v>
      </c>
      <c r="B184">
        <v>0</v>
      </c>
    </row>
    <row r="185" spans="1:2" x14ac:dyDescent="0.25">
      <c r="A185">
        <v>179</v>
      </c>
      <c r="B185">
        <v>0</v>
      </c>
    </row>
    <row r="186" spans="1:2" x14ac:dyDescent="0.25">
      <c r="A186">
        <v>180</v>
      </c>
      <c r="B186">
        <v>0</v>
      </c>
    </row>
    <row r="187" spans="1:2" x14ac:dyDescent="0.25">
      <c r="A187">
        <v>181</v>
      </c>
      <c r="B187">
        <v>0</v>
      </c>
    </row>
    <row r="188" spans="1:2" x14ac:dyDescent="0.25">
      <c r="A188">
        <v>182</v>
      </c>
      <c r="B188">
        <v>0</v>
      </c>
    </row>
    <row r="189" spans="1:2" x14ac:dyDescent="0.25">
      <c r="A189">
        <v>183</v>
      </c>
      <c r="B189">
        <v>0</v>
      </c>
    </row>
    <row r="190" spans="1:2" x14ac:dyDescent="0.25">
      <c r="A190">
        <v>184</v>
      </c>
      <c r="B190">
        <v>0</v>
      </c>
    </row>
    <row r="191" spans="1:2" x14ac:dyDescent="0.25">
      <c r="A191">
        <v>185</v>
      </c>
      <c r="B191">
        <v>0</v>
      </c>
    </row>
    <row r="192" spans="1:2" x14ac:dyDescent="0.25">
      <c r="A192">
        <v>186</v>
      </c>
      <c r="B192">
        <v>0</v>
      </c>
    </row>
    <row r="193" spans="1:2" x14ac:dyDescent="0.25">
      <c r="A193">
        <v>187</v>
      </c>
      <c r="B193">
        <v>0</v>
      </c>
    </row>
    <row r="194" spans="1:2" x14ac:dyDescent="0.25">
      <c r="A194">
        <v>188</v>
      </c>
      <c r="B194">
        <v>0</v>
      </c>
    </row>
    <row r="195" spans="1:2" x14ac:dyDescent="0.25">
      <c r="A195">
        <v>189</v>
      </c>
      <c r="B195">
        <v>0</v>
      </c>
    </row>
    <row r="196" spans="1:2" x14ac:dyDescent="0.25">
      <c r="A196">
        <v>190</v>
      </c>
      <c r="B196">
        <v>0</v>
      </c>
    </row>
    <row r="197" spans="1:2" x14ac:dyDescent="0.25">
      <c r="A197">
        <v>191</v>
      </c>
      <c r="B197">
        <v>0</v>
      </c>
    </row>
    <row r="198" spans="1:2" x14ac:dyDescent="0.25">
      <c r="A198">
        <v>192</v>
      </c>
      <c r="B198">
        <v>0</v>
      </c>
    </row>
    <row r="199" spans="1:2" x14ac:dyDescent="0.25">
      <c r="A199">
        <v>193</v>
      </c>
      <c r="B199">
        <v>0</v>
      </c>
    </row>
    <row r="200" spans="1:2" x14ac:dyDescent="0.25">
      <c r="A200">
        <v>194</v>
      </c>
      <c r="B200">
        <v>0</v>
      </c>
    </row>
    <row r="201" spans="1:2" x14ac:dyDescent="0.25">
      <c r="A201">
        <v>195</v>
      </c>
      <c r="B201">
        <v>1</v>
      </c>
    </row>
    <row r="202" spans="1:2" x14ac:dyDescent="0.25">
      <c r="A202">
        <v>196</v>
      </c>
      <c r="B202">
        <v>0</v>
      </c>
    </row>
    <row r="203" spans="1:2" x14ac:dyDescent="0.25">
      <c r="A203">
        <v>197</v>
      </c>
      <c r="B203">
        <v>0</v>
      </c>
    </row>
    <row r="204" spans="1:2" x14ac:dyDescent="0.25">
      <c r="A204">
        <v>198</v>
      </c>
      <c r="B204">
        <v>0</v>
      </c>
    </row>
    <row r="205" spans="1:2" x14ac:dyDescent="0.25">
      <c r="A205">
        <v>199</v>
      </c>
      <c r="B205">
        <v>0</v>
      </c>
    </row>
    <row r="206" spans="1:2" x14ac:dyDescent="0.25">
      <c r="A206">
        <v>200</v>
      </c>
      <c r="B206">
        <v>0</v>
      </c>
    </row>
    <row r="207" spans="1:2" x14ac:dyDescent="0.25">
      <c r="A207">
        <v>201</v>
      </c>
      <c r="B207">
        <v>0</v>
      </c>
    </row>
    <row r="208" spans="1:2" x14ac:dyDescent="0.25">
      <c r="A208">
        <v>202</v>
      </c>
      <c r="B208">
        <v>0</v>
      </c>
    </row>
    <row r="209" spans="1:2" x14ac:dyDescent="0.25">
      <c r="A209">
        <v>203</v>
      </c>
      <c r="B209">
        <v>0</v>
      </c>
    </row>
    <row r="210" spans="1:2" x14ac:dyDescent="0.25">
      <c r="A210">
        <v>204</v>
      </c>
      <c r="B210">
        <v>0</v>
      </c>
    </row>
    <row r="211" spans="1:2" x14ac:dyDescent="0.25">
      <c r="A211">
        <v>205</v>
      </c>
      <c r="B211">
        <v>0</v>
      </c>
    </row>
    <row r="212" spans="1:2" x14ac:dyDescent="0.25">
      <c r="A212">
        <v>206</v>
      </c>
      <c r="B212">
        <v>0</v>
      </c>
    </row>
    <row r="213" spans="1:2" x14ac:dyDescent="0.25">
      <c r="A213">
        <v>207</v>
      </c>
      <c r="B213">
        <v>0</v>
      </c>
    </row>
    <row r="214" spans="1:2" x14ac:dyDescent="0.25">
      <c r="A214">
        <v>208</v>
      </c>
      <c r="B214">
        <v>0</v>
      </c>
    </row>
    <row r="215" spans="1:2" x14ac:dyDescent="0.25">
      <c r="A215">
        <v>209</v>
      </c>
      <c r="B215">
        <v>0</v>
      </c>
    </row>
    <row r="216" spans="1:2" x14ac:dyDescent="0.25">
      <c r="A216">
        <v>210</v>
      </c>
      <c r="B216">
        <v>0</v>
      </c>
    </row>
    <row r="217" spans="1:2" x14ac:dyDescent="0.25">
      <c r="A217">
        <v>211</v>
      </c>
      <c r="B217">
        <v>0</v>
      </c>
    </row>
    <row r="218" spans="1:2" x14ac:dyDescent="0.25">
      <c r="A218">
        <v>212</v>
      </c>
      <c r="B218">
        <v>0</v>
      </c>
    </row>
    <row r="219" spans="1:2" x14ac:dyDescent="0.25">
      <c r="A219">
        <v>213</v>
      </c>
      <c r="B219">
        <v>0</v>
      </c>
    </row>
    <row r="220" spans="1:2" x14ac:dyDescent="0.25">
      <c r="A220">
        <v>214</v>
      </c>
      <c r="B220">
        <v>0</v>
      </c>
    </row>
    <row r="221" spans="1:2" x14ac:dyDescent="0.25">
      <c r="A221">
        <v>215</v>
      </c>
      <c r="B221">
        <v>1</v>
      </c>
    </row>
    <row r="222" spans="1:2" x14ac:dyDescent="0.25">
      <c r="A222">
        <v>216</v>
      </c>
      <c r="B222">
        <v>0</v>
      </c>
    </row>
    <row r="223" spans="1:2" x14ac:dyDescent="0.25">
      <c r="A223">
        <v>217</v>
      </c>
      <c r="B223">
        <v>0</v>
      </c>
    </row>
    <row r="224" spans="1:2" x14ac:dyDescent="0.25">
      <c r="A224">
        <v>218</v>
      </c>
      <c r="B224">
        <v>0</v>
      </c>
    </row>
    <row r="225" spans="1:2" x14ac:dyDescent="0.25">
      <c r="A225">
        <v>219</v>
      </c>
      <c r="B225">
        <v>0</v>
      </c>
    </row>
    <row r="226" spans="1:2" x14ac:dyDescent="0.25">
      <c r="A226">
        <v>220</v>
      </c>
      <c r="B226">
        <v>0</v>
      </c>
    </row>
    <row r="227" spans="1:2" x14ac:dyDescent="0.25">
      <c r="A227">
        <v>221</v>
      </c>
      <c r="B227">
        <v>0</v>
      </c>
    </row>
    <row r="228" spans="1:2" x14ac:dyDescent="0.25">
      <c r="A228">
        <v>222</v>
      </c>
      <c r="B228">
        <v>1</v>
      </c>
    </row>
    <row r="229" spans="1:2" x14ac:dyDescent="0.25">
      <c r="A229">
        <v>223</v>
      </c>
      <c r="B229">
        <v>0</v>
      </c>
    </row>
    <row r="230" spans="1:2" x14ac:dyDescent="0.25">
      <c r="A230">
        <v>224</v>
      </c>
      <c r="B230">
        <v>0</v>
      </c>
    </row>
    <row r="231" spans="1:2" x14ac:dyDescent="0.25">
      <c r="A231">
        <v>225</v>
      </c>
      <c r="B231">
        <v>0</v>
      </c>
    </row>
    <row r="232" spans="1:2" x14ac:dyDescent="0.25">
      <c r="A232">
        <v>226</v>
      </c>
      <c r="B232">
        <v>1</v>
      </c>
    </row>
    <row r="233" spans="1:2" x14ac:dyDescent="0.25">
      <c r="A233">
        <v>227</v>
      </c>
      <c r="B233">
        <v>1</v>
      </c>
    </row>
    <row r="234" spans="1:2" x14ac:dyDescent="0.25">
      <c r="A234">
        <v>228</v>
      </c>
      <c r="B234">
        <v>0</v>
      </c>
    </row>
    <row r="235" spans="1:2" x14ac:dyDescent="0.25">
      <c r="A235">
        <v>229</v>
      </c>
      <c r="B235">
        <v>1</v>
      </c>
    </row>
    <row r="236" spans="1:2" x14ac:dyDescent="0.25">
      <c r="A236">
        <v>230</v>
      </c>
      <c r="B236">
        <v>0</v>
      </c>
    </row>
    <row r="237" spans="1:2" x14ac:dyDescent="0.25">
      <c r="A237">
        <v>231</v>
      </c>
      <c r="B237">
        <v>0</v>
      </c>
    </row>
    <row r="238" spans="1:2" x14ac:dyDescent="0.25">
      <c r="A238">
        <v>232</v>
      </c>
      <c r="B238">
        <v>0</v>
      </c>
    </row>
    <row r="239" spans="1:2" x14ac:dyDescent="0.25">
      <c r="A239">
        <v>233</v>
      </c>
      <c r="B239">
        <v>1</v>
      </c>
    </row>
    <row r="240" spans="1:2" x14ac:dyDescent="0.25">
      <c r="A240">
        <v>234</v>
      </c>
      <c r="B240">
        <v>0</v>
      </c>
    </row>
    <row r="241" spans="1:2" x14ac:dyDescent="0.25">
      <c r="A241">
        <v>235</v>
      </c>
      <c r="B241">
        <v>0</v>
      </c>
    </row>
    <row r="242" spans="1:2" x14ac:dyDescent="0.25">
      <c r="A242">
        <v>236</v>
      </c>
      <c r="B242">
        <v>0</v>
      </c>
    </row>
    <row r="243" spans="1:2" x14ac:dyDescent="0.25">
      <c r="A243">
        <v>237</v>
      </c>
      <c r="B243">
        <v>0</v>
      </c>
    </row>
    <row r="244" spans="1:2" x14ac:dyDescent="0.25">
      <c r="A244">
        <v>238</v>
      </c>
      <c r="B244">
        <v>0</v>
      </c>
    </row>
    <row r="245" spans="1:2" x14ac:dyDescent="0.25">
      <c r="A245">
        <v>239</v>
      </c>
      <c r="B245">
        <v>0</v>
      </c>
    </row>
    <row r="246" spans="1:2" x14ac:dyDescent="0.25">
      <c r="A246">
        <v>240</v>
      </c>
      <c r="B246">
        <v>0</v>
      </c>
    </row>
    <row r="247" spans="1:2" x14ac:dyDescent="0.25">
      <c r="A247">
        <v>241</v>
      </c>
      <c r="B247">
        <v>0</v>
      </c>
    </row>
    <row r="248" spans="1:2" x14ac:dyDescent="0.25">
      <c r="A248">
        <v>242</v>
      </c>
      <c r="B248">
        <v>0</v>
      </c>
    </row>
    <row r="249" spans="1:2" x14ac:dyDescent="0.25">
      <c r="A249">
        <v>243</v>
      </c>
      <c r="B249">
        <v>0</v>
      </c>
    </row>
    <row r="250" spans="1:2" x14ac:dyDescent="0.25">
      <c r="A250">
        <v>244</v>
      </c>
      <c r="B250">
        <v>0</v>
      </c>
    </row>
    <row r="251" spans="1:2" x14ac:dyDescent="0.25">
      <c r="A251">
        <v>245</v>
      </c>
      <c r="B251">
        <v>0</v>
      </c>
    </row>
    <row r="252" spans="1:2" x14ac:dyDescent="0.25">
      <c r="A252">
        <v>246</v>
      </c>
      <c r="B252">
        <v>0</v>
      </c>
    </row>
    <row r="253" spans="1:2" x14ac:dyDescent="0.25">
      <c r="A253">
        <v>247</v>
      </c>
      <c r="B253">
        <v>0</v>
      </c>
    </row>
    <row r="254" spans="1:2" x14ac:dyDescent="0.25">
      <c r="A254">
        <v>248</v>
      </c>
      <c r="B254">
        <v>0</v>
      </c>
    </row>
    <row r="255" spans="1:2" x14ac:dyDescent="0.25">
      <c r="A255">
        <v>249</v>
      </c>
      <c r="B255">
        <v>0</v>
      </c>
    </row>
    <row r="256" spans="1:2" x14ac:dyDescent="0.25">
      <c r="A256">
        <v>250</v>
      </c>
      <c r="B256">
        <v>0</v>
      </c>
    </row>
    <row r="257" spans="1:2" x14ac:dyDescent="0.25">
      <c r="A257">
        <v>251</v>
      </c>
      <c r="B257">
        <v>0</v>
      </c>
    </row>
    <row r="258" spans="1:2" x14ac:dyDescent="0.25">
      <c r="A258">
        <v>252</v>
      </c>
      <c r="B258">
        <v>0</v>
      </c>
    </row>
    <row r="259" spans="1:2" x14ac:dyDescent="0.25">
      <c r="A259">
        <v>253</v>
      </c>
      <c r="B259">
        <v>1</v>
      </c>
    </row>
    <row r="260" spans="1:2" x14ac:dyDescent="0.25">
      <c r="A260">
        <v>254</v>
      </c>
      <c r="B260">
        <v>0</v>
      </c>
    </row>
    <row r="261" spans="1:2" x14ac:dyDescent="0.25">
      <c r="A261">
        <v>255</v>
      </c>
      <c r="B261">
        <v>0</v>
      </c>
    </row>
    <row r="262" spans="1:2" x14ac:dyDescent="0.25">
      <c r="A262">
        <v>256</v>
      </c>
      <c r="B262">
        <v>0</v>
      </c>
    </row>
    <row r="263" spans="1:2" x14ac:dyDescent="0.25">
      <c r="A263">
        <v>257</v>
      </c>
      <c r="B263">
        <v>0</v>
      </c>
    </row>
    <row r="264" spans="1:2" x14ac:dyDescent="0.25">
      <c r="A264">
        <v>258</v>
      </c>
      <c r="B264">
        <v>0</v>
      </c>
    </row>
    <row r="265" spans="1:2" x14ac:dyDescent="0.25">
      <c r="A265">
        <v>259</v>
      </c>
      <c r="B265">
        <v>0</v>
      </c>
    </row>
    <row r="266" spans="1:2" x14ac:dyDescent="0.25">
      <c r="A266">
        <v>260</v>
      </c>
      <c r="B266">
        <v>0</v>
      </c>
    </row>
    <row r="267" spans="1:2" x14ac:dyDescent="0.25">
      <c r="A267">
        <v>261</v>
      </c>
      <c r="B267">
        <v>0</v>
      </c>
    </row>
    <row r="268" spans="1:2" x14ac:dyDescent="0.25">
      <c r="A268">
        <v>262</v>
      </c>
      <c r="B268">
        <v>0</v>
      </c>
    </row>
    <row r="269" spans="1:2" x14ac:dyDescent="0.25">
      <c r="A269">
        <v>263</v>
      </c>
      <c r="B269">
        <v>0</v>
      </c>
    </row>
    <row r="270" spans="1:2" x14ac:dyDescent="0.25">
      <c r="A270">
        <v>264</v>
      </c>
      <c r="B270">
        <v>0</v>
      </c>
    </row>
    <row r="271" spans="1:2" x14ac:dyDescent="0.25">
      <c r="A271">
        <v>265</v>
      </c>
      <c r="B271">
        <v>0</v>
      </c>
    </row>
    <row r="272" spans="1:2" x14ac:dyDescent="0.25">
      <c r="A272">
        <v>266</v>
      </c>
      <c r="B272">
        <v>0</v>
      </c>
    </row>
    <row r="273" spans="1:2" x14ac:dyDescent="0.25">
      <c r="A273">
        <v>267</v>
      </c>
      <c r="B273">
        <v>0</v>
      </c>
    </row>
    <row r="274" spans="1:2" x14ac:dyDescent="0.25">
      <c r="A274">
        <v>268</v>
      </c>
      <c r="B274">
        <v>0</v>
      </c>
    </row>
    <row r="275" spans="1:2" x14ac:dyDescent="0.25">
      <c r="A275">
        <v>269</v>
      </c>
      <c r="B275">
        <v>0</v>
      </c>
    </row>
    <row r="276" spans="1:2" x14ac:dyDescent="0.25">
      <c r="A276">
        <v>270</v>
      </c>
      <c r="B276">
        <v>1</v>
      </c>
    </row>
    <row r="277" spans="1:2" x14ac:dyDescent="0.25">
      <c r="A277">
        <v>271</v>
      </c>
      <c r="B277">
        <v>0</v>
      </c>
    </row>
    <row r="278" spans="1:2" x14ac:dyDescent="0.25">
      <c r="A278">
        <v>272</v>
      </c>
      <c r="B278">
        <v>0</v>
      </c>
    </row>
    <row r="279" spans="1:2" x14ac:dyDescent="0.25">
      <c r="A279">
        <v>273</v>
      </c>
      <c r="B279">
        <v>0</v>
      </c>
    </row>
    <row r="280" spans="1:2" x14ac:dyDescent="0.25">
      <c r="A280">
        <v>274</v>
      </c>
      <c r="B280">
        <v>0</v>
      </c>
    </row>
    <row r="281" spans="1:2" x14ac:dyDescent="0.25">
      <c r="A281">
        <v>275</v>
      </c>
      <c r="B281">
        <v>1</v>
      </c>
    </row>
    <row r="282" spans="1:2" x14ac:dyDescent="0.25">
      <c r="A282">
        <v>276</v>
      </c>
      <c r="B282">
        <v>0</v>
      </c>
    </row>
    <row r="283" spans="1:2" x14ac:dyDescent="0.25">
      <c r="A283">
        <v>277</v>
      </c>
      <c r="B283">
        <v>0</v>
      </c>
    </row>
    <row r="284" spans="1:2" x14ac:dyDescent="0.25">
      <c r="A284">
        <v>278</v>
      </c>
      <c r="B284">
        <v>0</v>
      </c>
    </row>
    <row r="285" spans="1:2" x14ac:dyDescent="0.25">
      <c r="A285">
        <v>279</v>
      </c>
      <c r="B285">
        <v>0</v>
      </c>
    </row>
    <row r="286" spans="1:2" x14ac:dyDescent="0.25">
      <c r="A286">
        <v>280</v>
      </c>
      <c r="B286">
        <v>0</v>
      </c>
    </row>
    <row r="287" spans="1:2" x14ac:dyDescent="0.25">
      <c r="A287">
        <v>281</v>
      </c>
      <c r="B287">
        <v>0</v>
      </c>
    </row>
    <row r="288" spans="1:2" x14ac:dyDescent="0.25">
      <c r="A288">
        <v>282</v>
      </c>
      <c r="B288">
        <v>0</v>
      </c>
    </row>
    <row r="289" spans="1:2" x14ac:dyDescent="0.25">
      <c r="A289">
        <v>283</v>
      </c>
      <c r="B289">
        <v>0</v>
      </c>
    </row>
    <row r="290" spans="1:2" x14ac:dyDescent="0.25">
      <c r="A290">
        <v>284</v>
      </c>
      <c r="B290">
        <v>1</v>
      </c>
    </row>
    <row r="291" spans="1:2" x14ac:dyDescent="0.25">
      <c r="A291">
        <v>285</v>
      </c>
      <c r="B291">
        <v>0</v>
      </c>
    </row>
    <row r="292" spans="1:2" x14ac:dyDescent="0.25">
      <c r="A292">
        <v>286</v>
      </c>
      <c r="B292">
        <v>0</v>
      </c>
    </row>
    <row r="293" spans="1:2" x14ac:dyDescent="0.25">
      <c r="A293">
        <v>287</v>
      </c>
      <c r="B293">
        <v>0</v>
      </c>
    </row>
    <row r="294" spans="1:2" x14ac:dyDescent="0.25">
      <c r="A294">
        <v>288</v>
      </c>
      <c r="B294">
        <v>0</v>
      </c>
    </row>
    <row r="295" spans="1:2" x14ac:dyDescent="0.25">
      <c r="A295">
        <v>289</v>
      </c>
      <c r="B295">
        <v>1</v>
      </c>
    </row>
    <row r="296" spans="1:2" x14ac:dyDescent="0.25">
      <c r="A296">
        <v>290</v>
      </c>
      <c r="B296">
        <v>0</v>
      </c>
    </row>
    <row r="297" spans="1:2" x14ac:dyDescent="0.25">
      <c r="A297">
        <v>291</v>
      </c>
      <c r="B297">
        <v>0</v>
      </c>
    </row>
    <row r="298" spans="1:2" x14ac:dyDescent="0.25">
      <c r="A298">
        <v>292</v>
      </c>
      <c r="B298">
        <v>0</v>
      </c>
    </row>
    <row r="299" spans="1:2" x14ac:dyDescent="0.25">
      <c r="A299">
        <v>293</v>
      </c>
      <c r="B299">
        <v>1</v>
      </c>
    </row>
    <row r="300" spans="1:2" x14ac:dyDescent="0.25">
      <c r="A300">
        <v>294</v>
      </c>
      <c r="B300">
        <v>0</v>
      </c>
    </row>
    <row r="301" spans="1:2" x14ac:dyDescent="0.25">
      <c r="A301">
        <v>295</v>
      </c>
      <c r="B301">
        <v>0</v>
      </c>
    </row>
    <row r="302" spans="1:2" x14ac:dyDescent="0.25">
      <c r="A302">
        <v>296</v>
      </c>
      <c r="B302">
        <v>0</v>
      </c>
    </row>
    <row r="303" spans="1:2" x14ac:dyDescent="0.25">
      <c r="A303">
        <v>297</v>
      </c>
      <c r="B303">
        <v>0</v>
      </c>
    </row>
    <row r="304" spans="1:2" x14ac:dyDescent="0.25">
      <c r="A304">
        <v>298</v>
      </c>
      <c r="B304">
        <v>0</v>
      </c>
    </row>
    <row r="305" spans="1:2" x14ac:dyDescent="0.25">
      <c r="A305">
        <v>299</v>
      </c>
      <c r="B305">
        <v>0</v>
      </c>
    </row>
    <row r="306" spans="1:2" x14ac:dyDescent="0.25">
      <c r="A306">
        <v>300</v>
      </c>
      <c r="B30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0"/>
  <sheetViews>
    <sheetView zoomScaleNormal="100" workbookViewId="0">
      <selection activeCell="B10" sqref="B10"/>
    </sheetView>
  </sheetViews>
  <sheetFormatPr baseColWidth="10" defaultRowHeight="15" x14ac:dyDescent="0.25"/>
  <cols>
    <col min="2" max="2" width="38.42578125" bestFit="1" customWidth="1"/>
    <col min="3" max="3" width="32.28515625" customWidth="1"/>
  </cols>
  <sheetData>
    <row r="2" spans="1:3" x14ac:dyDescent="0.25">
      <c r="A2" s="9" t="s">
        <v>47</v>
      </c>
    </row>
    <row r="3" spans="1:3" ht="17.25" x14ac:dyDescent="0.25">
      <c r="A3" s="18"/>
      <c r="B3" s="10" t="s">
        <v>100</v>
      </c>
      <c r="C3" s="10" t="s">
        <v>101</v>
      </c>
    </row>
    <row r="4" spans="1:3" ht="22.5" customHeight="1" x14ac:dyDescent="0.25">
      <c r="A4" s="10" t="s">
        <v>102</v>
      </c>
      <c r="B4" s="18" t="s">
        <v>48</v>
      </c>
      <c r="C4" s="18" t="s">
        <v>49</v>
      </c>
    </row>
    <row r="5" spans="1:3" ht="22.5" customHeight="1" x14ac:dyDescent="0.25">
      <c r="A5" s="10" t="s">
        <v>103</v>
      </c>
      <c r="B5" s="18" t="s">
        <v>48</v>
      </c>
      <c r="C5" s="18" t="s">
        <v>50</v>
      </c>
    </row>
    <row r="7" spans="1:3" x14ac:dyDescent="0.25">
      <c r="A7" s="9" t="s">
        <v>54</v>
      </c>
      <c r="B7" s="9" t="s">
        <v>58</v>
      </c>
      <c r="C7" s="9" t="s">
        <v>59</v>
      </c>
    </row>
    <row r="8" spans="1:3" x14ac:dyDescent="0.25">
      <c r="A8" t="s">
        <v>51</v>
      </c>
      <c r="B8" s="6" t="s">
        <v>55</v>
      </c>
      <c r="C8" s="6" t="s">
        <v>60</v>
      </c>
    </row>
    <row r="9" spans="1:3" x14ac:dyDescent="0.25">
      <c r="A9" t="s">
        <v>52</v>
      </c>
      <c r="B9" s="6" t="s">
        <v>56</v>
      </c>
      <c r="C9" s="6" t="s">
        <v>61</v>
      </c>
    </row>
    <row r="10" spans="1:3" x14ac:dyDescent="0.25">
      <c r="A10" t="s">
        <v>53</v>
      </c>
      <c r="B10" s="6" t="s">
        <v>57</v>
      </c>
      <c r="C10" s="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Hoja1</vt:lpstr>
      <vt:lpstr>Hoja2</vt:lpstr>
      <vt:lpstr>Hoja3</vt:lpstr>
      <vt:lpstr>Hoja4</vt:lpstr>
      <vt:lpstr>Hoja5</vt:lpstr>
      <vt:lpstr>Hoja6</vt:lpstr>
      <vt:lpstr>Hoja7</vt:lpstr>
      <vt:lpstr>Hoja8</vt:lpstr>
      <vt:lpstr>Hoja9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Tuñoque</dc:creator>
  <cp:lastModifiedBy>USER</cp:lastModifiedBy>
  <dcterms:created xsi:type="dcterms:W3CDTF">2026-05-07T20:32:53Z</dcterms:created>
  <dcterms:modified xsi:type="dcterms:W3CDTF">2026-05-11T03:20:23Z</dcterms:modified>
</cp:coreProperties>
</file>