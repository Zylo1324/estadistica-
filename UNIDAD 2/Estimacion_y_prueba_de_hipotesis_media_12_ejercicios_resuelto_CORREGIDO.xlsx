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state="visible" r:id="rId4"/>
    <sheet sheetId="2" name="Ejercicio 1" state="visible" r:id="rId5"/>
    <sheet sheetId="3" name="Ejercicio 2" state="visible" r:id="rId6"/>
    <sheet sheetId="4" name="Ejercicio 3" state="visible" r:id="rId7"/>
    <sheet sheetId="5" name="Ejercicio 4" state="visible" r:id="rId8"/>
    <sheet sheetId="6" name="Ejercicio 5" state="visible" r:id="rId9"/>
    <sheet sheetId="7" name="Ejercicio 6" state="visible" r:id="rId10"/>
    <sheet sheetId="8" name="Ejercicio 7" state="visible" r:id="rId11"/>
    <sheet sheetId="9" name="Ejercicio 8" state="visible" r:id="rId12"/>
    <sheet sheetId="10" name="Ejercicio 9" state="visible" r:id="rId13"/>
    <sheet sheetId="11" name="Ejercicio 10" state="visible" r:id="rId14"/>
    <sheet sheetId="12" name="Ejercicio 11" state="visible" r:id="rId15"/>
    <sheet sheetId="13" name="Ejercicio 12" state="visible" r:id="rId16"/>
  </sheets>
  <calcPr calcId="171027"/>
</workbook>
</file>

<file path=xl/sharedStrings.xml><?xml version="1.0" encoding="utf-8"?>
<sst xmlns="http://schemas.openxmlformats.org/spreadsheetml/2006/main" count="811" uniqueCount="197">
  <si>
    <t>Estimación y prueba de hipótesis de una media</t>
  </si>
  <si>
    <t>Resumen rápido de decisiones e intervalos de confianza.</t>
  </si>
  <si>
    <t>Resumen rápido</t>
  </si>
  <si>
    <t>Ejercicio</t>
  </si>
  <si>
    <t>Estadístico</t>
  </si>
  <si>
    <t>Decisión</t>
  </si>
  <si>
    <t>Resultado / intervalo</t>
  </si>
  <si>
    <t>Ejercicio 1</t>
  </si>
  <si>
    <t>5.0000</t>
  </si>
  <si>
    <t>Rechazar H0</t>
  </si>
  <si>
    <t>Sí se concluye que los clientes están gastando más de $400. IC 95%: 430.40 a 469.60</t>
  </si>
  <si>
    <t>Ejercicio 2</t>
  </si>
  <si>
    <t>-0.8333</t>
  </si>
  <si>
    <t>No rechazar H0</t>
  </si>
  <si>
    <t>No se concluye que la producción promedio semanal sea menor de 1000 cápsulas. IC 92%: 844.96 a 1055.04</t>
  </si>
  <si>
    <t>Ejercicio 3</t>
  </si>
  <si>
    <t>2.1764</t>
  </si>
  <si>
    <t>Se rechaza que la media sea a lo sumo 250 micro amperes. IC 90%: 251.78 a 262.82</t>
  </si>
  <si>
    <t>Ejercicio 4</t>
  </si>
  <si>
    <t>-2.6321</t>
  </si>
  <si>
    <t>No se demuestra diferencia significativa al 1%. IC 97%: 59.58 a 64.62</t>
  </si>
  <si>
    <t>Ejercicio 5</t>
  </si>
  <si>
    <t>-6.7200</t>
  </si>
  <si>
    <t>Sí existe evidencia de que el consumo promedio es menor a $25. IC 97.5%: 21.80 a 23.40</t>
  </si>
  <si>
    <t>Ejercicio 6</t>
  </si>
  <si>
    <t>-0.2221</t>
  </si>
  <si>
    <t>No se rechaza que el promedio sea de 80 palabras por minuto. IC 99%: 72.51 a 86.49</t>
  </si>
  <si>
    <t>Ejercicio 7</t>
  </si>
  <si>
    <t>-3.6515</t>
  </si>
  <si>
    <t>Sí hay evidencia de que el ingreso diario promedio es menor que 675 soles. IC 95%: 598.16 a 651.84</t>
  </si>
  <si>
    <t>Ejercicio 8</t>
  </si>
  <si>
    <t>-5.1962</t>
  </si>
  <si>
    <t>Se rechaza que la duración promedio sea verdaderamente 800 horas. IC 99%: 782.05 a 793.95</t>
  </si>
  <si>
    <t>Ejercicio 9</t>
  </si>
  <si>
    <t>0.7717</t>
  </si>
  <si>
    <t>No se rechaza que el contenido promedio sea de 10 litros. IC 95%: 9.88 a 10.24</t>
  </si>
  <si>
    <t>Ejercicio 10</t>
  </si>
  <si>
    <t>2.4650</t>
  </si>
  <si>
    <t>Sí se comprueba que el tiempo medio de publicidad es mayor a 2.5 minutos. IC 99%: 2.48 a 3.52 | IC 90%: 2.67 a 3.33</t>
  </si>
  <si>
    <t>Ejercicio 11</t>
  </si>
  <si>
    <t>-0.7200</t>
  </si>
  <si>
    <t>No se rechaza la afirmación del gerente de 23 llamadas semanales. IC 98%: 20.46 a 24.34</t>
  </si>
  <si>
    <t>Ejercicio 12</t>
  </si>
  <si>
    <t>2.2361</t>
  </si>
  <si>
    <t>Sí hay evidencia para afirmar que la duración promedio es por lo menos 750 horas. IC 96%: 752.45 a 807.55</t>
  </si>
  <si>
    <t>El gerente de la cadena de una tienda afirma que en promedio los clientes gastaron $400 el año pasado. Sin embargo, analizando el mercado, nosotros creemos, que dicho gerente ha exagerado. Para someter a prueba estas hipótesis se tomó una muestra aleatoria de 100 clientes que el año pasado habían comprado en dicha tienda, ésta reveló una media de $450 y una desviación estándar $100.</t>
  </si>
  <si>
    <t>a)</t>
  </si>
  <si>
    <t>En el nivel de significación de 0.05, ¿Es posible concluir que los clientes de esta tienda están gastando más?</t>
  </si>
  <si>
    <t>b)</t>
  </si>
  <si>
    <t>Calcule e interprete su intervalo de confianza al 95%.</t>
  </si>
  <si>
    <t>A) Prueba de hipótesis</t>
  </si>
  <si>
    <t>B) Intervalo de confianza</t>
  </si>
  <si>
    <t>Elemento</t>
  </si>
  <si>
    <t>Símbolo</t>
  </si>
  <si>
    <t>Valor</t>
  </si>
  <si>
    <t>Hipótesis nula</t>
  </si>
  <si>
    <t>H0</t>
  </si>
  <si>
    <t>μ ≤ 400</t>
  </si>
  <si>
    <t>Nivel de confianza</t>
  </si>
  <si>
    <t>NC</t>
  </si>
  <si>
    <t>Hipótesis alternativa</t>
  </si>
  <si>
    <t>H1</t>
  </si>
  <si>
    <t>μ &gt; 400</t>
  </si>
  <si>
    <t>Media muestral</t>
  </si>
  <si>
    <t>x̄</t>
  </si>
  <si>
    <t>Nivel de significancia</t>
  </si>
  <si>
    <t>α</t>
  </si>
  <si>
    <t>Desv. estándar</t>
  </si>
  <si>
    <t>s</t>
  </si>
  <si>
    <t>Tamaño de muestra</t>
  </si>
  <si>
    <t>n</t>
  </si>
  <si>
    <t>Media hipotética</t>
  </si>
  <si>
    <t>µ0</t>
  </si>
  <si>
    <t>Valor Z</t>
  </si>
  <si>
    <t>Z</t>
  </si>
  <si>
    <t>Error</t>
  </si>
  <si>
    <t>E</t>
  </si>
  <si>
    <t>Límite inferior</t>
  </si>
  <si>
    <t>LI</t>
  </si>
  <si>
    <t>Límite superior</t>
  </si>
  <si>
    <t>LS</t>
  </si>
  <si>
    <t>Estadístico Z calculado</t>
  </si>
  <si>
    <t>Zc</t>
  </si>
  <si>
    <t>Valor crítico Z</t>
  </si>
  <si>
    <t>Zt</t>
  </si>
  <si>
    <t>Respuesta final</t>
  </si>
  <si>
    <t>El gasto promedio se encuentra entre $430.40 y $469.60 con 95% de confianza.</t>
  </si>
  <si>
    <t>p-valor</t>
  </si>
  <si>
    <t>p</t>
  </si>
  <si>
    <t>Sí se concluye que los clientes están gastando más de $400.</t>
  </si>
  <si>
    <t>El gerente de ventas de una empresa que elabora cápsulas de uña de gato indica que la demanda semanal tiene distribución normal con una media de 1000 cápsulas y una desviación estándar de 360 cápsulas. Sin embargo, en un estudio reciente, una muestra aleatoria de 36 semanas dio una demanda promedio de 950 cápsulas.</t>
  </si>
  <si>
    <t>¿Es posible concluir que la producción promedio semanal es menos de 1000 cápsulas al 1% de significación?</t>
  </si>
  <si>
    <t>Calcule e interprete su intervalo de confianza al 92%.</t>
  </si>
  <si>
    <t>μ ≥ 1000</t>
  </si>
  <si>
    <t>μ &lt; 1000</t>
  </si>
  <si>
    <t>σ</t>
  </si>
  <si>
    <t>La demanda promedio semanal se encuentra entre 844.96 y 1055.04 cápsulas con 92% de confianza.</t>
  </si>
  <si>
    <t>No se concluye que la producción promedio semanal sea menor de 1000 cápsulas.</t>
  </si>
  <si>
    <t>Un fabricante de aparatos de TV afirma que se necesita a lo mucho 250 micro amperes de corriente para alcanzar cierto grado de brillantez con un tipo de televisor en particular. Una muestra de 20 aparatos de TV produce un promedio muestral de corriente de 257.3 micro amperes. Denotemos por μ el verdadero promedio de corriente necesaria para alcanzar la brillantez deseada con aparatos de este tipo, y supongamos que μ es la media de una población con σ = 15.</t>
  </si>
  <si>
    <t>Pruebe al nivel de significación del 5% la hipótesis nula de que la media es a lo sumo 250 micro amperes.</t>
  </si>
  <si>
    <t>Calcule e interprete su intervalo de confianza al 90%.</t>
  </si>
  <si>
    <t>μ ≤ 250</t>
  </si>
  <si>
    <t>μ &gt; 250</t>
  </si>
  <si>
    <t>La corriente promedio necesaria se encuentra entre 251.78 y 262.82 micro amperes con 90% de confianza.</t>
  </si>
  <si>
    <t>Se rechaza que la media sea a lo sumo 250 micro amperes.</t>
  </si>
  <si>
    <t>En una conocida prueba de autoimagen que da por resultado puntajes que se distribuyen de manera normal, se espera que el puntaje medio de los beneficiarios de la asistencia pública sea de 65. La prueba se aplica a una muestra aleatoria de 28 beneficiarios de la asistencia pública quienes logran un puntaje medio de 62.1 con una desviación estándar de 5.83.</t>
  </si>
  <si>
    <t>Al nivel de significación del 1%, ¿los beneficiarios de la asistencia pública tienen puntajes diferentes en promedio, a los que se esperaban?</t>
  </si>
  <si>
    <t>Calcule e interprete su intervalo de confianza 97%.</t>
  </si>
  <si>
    <t>μ = 65</t>
  </si>
  <si>
    <t>μ ≠ 65</t>
  </si>
  <si>
    <t>Grados de libertad</t>
  </si>
  <si>
    <t>gl</t>
  </si>
  <si>
    <t>Valor T</t>
  </si>
  <si>
    <t>T</t>
  </si>
  <si>
    <t>Estadístico T calculado</t>
  </si>
  <si>
    <t>Tc</t>
  </si>
  <si>
    <t>Valor crítico T</t>
  </si>
  <si>
    <t>±Tt</t>
  </si>
  <si>
    <t>El puntaje promedio se encuentra entre 59.58 y 64.62 puntos con 97% de confianza.</t>
  </si>
  <si>
    <t>No se demuestra diferencia significativa al 1%.</t>
  </si>
  <si>
    <t>Para tratar de estimar el consumo promedio por cliente, en un gran restaurante, se reunieron datos de una muestra de 49 clientes durante un periodo de tres semanas. Si la media de la muestra es de $22.60 dólares con una desviación estándar de $2.5.</t>
  </si>
  <si>
    <t>¿Existe evidencia para decir que el consumo promedio de la población es menor a 25 dólares? Pruebe con α = 0.05.</t>
  </si>
  <si>
    <t>Calcule e interprete su intervalo de confianza al 97.5%.</t>
  </si>
  <si>
    <t>μ ≥ 25</t>
  </si>
  <si>
    <t>μ &lt; 25</t>
  </si>
  <si>
    <t>El consumo promedio se encuentra entre $21.80 y $23.40 con 97.5% de confianza.</t>
  </si>
  <si>
    <t>Sí existe evidencia de que el consumo promedio es menor a $25.</t>
  </si>
  <si>
    <t>Una muestra aleatoria de 12 alumnas graduadas de una escuela secretarial mecanografió un promedio de 79.5 palabras por minuto con una desviación estándar de 7.8 palabras por minuto.</t>
  </si>
  <si>
    <t>¿Se tiene evidencia estadística para decir que el número promedio de palabras mecanografiadas por todas las graduadas de esa escuela es de 80 palabras por minuto con α = 0,01?</t>
  </si>
  <si>
    <t>Calcule e interprete su intervalo de confianza al 99%.</t>
  </si>
  <si>
    <t>μ = 80</t>
  </si>
  <si>
    <t>μ ≠ 80</t>
  </si>
  <si>
    <t>El promedio real se encuentra entre 72.51 y 86.49 palabras por minuto con 99% de confianza.</t>
  </si>
  <si>
    <t>No se rechaza que el promedio sea de 80 palabras por minuto.</t>
  </si>
  <si>
    <t>Un empresario está considerando la posibilidad de ampliar su negocio mediante la adquisición de un pequeño bar. El dueño actual del bar afirma que el ingreso diario del establecimiento sigue una distribución normal de media 675 soles y una desviación estándar de 75 soles. Para comprobar si decía la verdad, tomó una muestra de treinta días y ésta reveló un ingreso diario promedio de 625 soles.</t>
  </si>
  <si>
    <t>¿Hay evidencia de que el ingreso diario promedio sea menor del que afirma el presente dueño? Utilice un nivel de significación del 1%.</t>
  </si>
  <si>
    <t>Calcula e interpreta un intervalo de confianza al 95%.</t>
  </si>
  <si>
    <t>μ ≥ 675</t>
  </si>
  <si>
    <t>μ &lt; 675</t>
  </si>
  <si>
    <t>El ingreso diario promedio se encuentra entre 598.16 y 651.84 soles con 95% de confianza.</t>
  </si>
  <si>
    <t>Sí hay evidencia de que el ingreso diario promedio es menor que 675 soles.</t>
  </si>
  <si>
    <t>Una empresa eléctrica fabrica focos que tienen una duración que está distribuida aproximadamente en forma normal con media de 800 horas y una desviación estándar de 40.</t>
  </si>
  <si>
    <t>Pruebe la hipótesis de que la duración promedio sea verdaderamente 800 horas si en una muestra aleatoria de 300 focos tiene una duración promedio de 788 horas. Utilice un nivel de significancia de 0.04.</t>
  </si>
  <si>
    <t>Calcula e interpreta un intervalo de confianza al 99%.</t>
  </si>
  <si>
    <t>μ = 800</t>
  </si>
  <si>
    <t>μ ≠ 800</t>
  </si>
  <si>
    <t>±Zt</t>
  </si>
  <si>
    <t>La duración promedio se encuentra entre 782.05 y 793.95 horas con 99% de confianza.</t>
  </si>
  <si>
    <t>Se rechaza que la duración promedio sea verdaderamente 800 horas.</t>
  </si>
  <si>
    <t>Pruebe la hipótesis de que el contenido promedio en recipientes de un lubricante en particular es de 10 litros si los contenidos de una muestra aleatoria de 10 recipientes son 10.2, 9.7, 10.1, 10.3, 10.1, 9.8, 9.9, 10.4, 10.3 y 9.8 litros. Utilice un nivel de significancia de 0.01. Calcula e interpreta un intervalo de confianza al 95%.</t>
  </si>
  <si>
    <t>Pruebe la hipótesis de que el contenido promedio es de 10 litros con α = 0.01.</t>
  </si>
  <si>
    <t>Calcule e interprete un intervalo de confianza al 95%.</t>
  </si>
  <si>
    <t>μ = 10</t>
  </si>
  <si>
    <t>μ ≠ 10</t>
  </si>
  <si>
    <t>El contenido promedio se encuentra entre 9.88 y 10.24 litros con 95% de confianza.</t>
  </si>
  <si>
    <t>No se rechaza que el contenido promedio sea de 10 litros.</t>
  </si>
  <si>
    <t>Datos originales del ejercicio</t>
  </si>
  <si>
    <t>Dato 1</t>
  </si>
  <si>
    <t>Dato 2</t>
  </si>
  <si>
    <t>Dato 3</t>
  </si>
  <si>
    <t>Dato 4</t>
  </si>
  <si>
    <t>Dato 5</t>
  </si>
  <si>
    <t>Dato 6</t>
  </si>
  <si>
    <t>Dato 7</t>
  </si>
  <si>
    <t>Dato 8</t>
  </si>
  <si>
    <t>Dato 9</t>
  </si>
  <si>
    <t>Dato 10</t>
  </si>
  <si>
    <t>Una agencia de publicidad tiene un registro de datos sobre el tiempo (en minutos) de los anuncios publicitarios por cada 20 minutos en los programas principales de TV. Una muestra aleatoria de 35 de estos registros proporcionó un tiempo medio de publicidad de 3 minutos por cada 20 minutos de publicidad. Suponiendo que el tiempo de anuncios en minutos sigue una distribución normal con una desviación estándar de 1.2 minutos.</t>
  </si>
  <si>
    <t>Compruebe que el tiempo medio de publicidad sea mayor a los 2.5 minutos. Con una significancia del 3%.</t>
  </si>
  <si>
    <t>b-c-d)</t>
  </si>
  <si>
    <t>b) IC 99%.  c) IC 90%.  d) Tamaño de muestra con 95% de confianza y margen de error de 0.5 minutos.</t>
  </si>
  <si>
    <t>Ejercicio 10.b: Intervalo de confianza</t>
  </si>
  <si>
    <t>μ ≤ 2.5</t>
  </si>
  <si>
    <t>μ &gt; 2.5</t>
  </si>
  <si>
    <t>IC 99%: 2.48 a 3.52 minutos.</t>
  </si>
  <si>
    <t>Sí se comprueba que el tiempo medio de publicidad es mayor a 2.5 minutos.</t>
  </si>
  <si>
    <t>Ejercicio 10.c: Intervalo de confianza</t>
  </si>
  <si>
    <t>IC 90%: 2.67 a 3.33 minutos.</t>
  </si>
  <si>
    <t>Ejercicio 10.d: Tamaño de muestra</t>
  </si>
  <si>
    <t>Margen de error</t>
  </si>
  <si>
    <t>Tamaño calculado</t>
  </si>
  <si>
    <t>Tamaño mínimo</t>
  </si>
  <si>
    <t>Se debe tomar una muestra mínima de 23 registros.</t>
  </si>
  <si>
    <t>El gerente de una distribuidora indica que el número promedio de llamadas por semana a los clientes es de 23 llamadas. Se pidió al personal de ventas que presentara informes semanales con los clientes llamados durante una semana. En una muestra de 36 informes semanales se determinó un promedio de 22.4 llamadas a clientes por semana, y una desviación estándar de 5 llamadas.</t>
  </si>
  <si>
    <t>Compruebe la afirmación del gerente con una significancia del 5%.</t>
  </si>
  <si>
    <t>Determinar un intervalo de confianza del 98% para el número promedio de llamadas semanales a clientes.</t>
  </si>
  <si>
    <t>μ = 23</t>
  </si>
  <si>
    <t>μ ≠ 23</t>
  </si>
  <si>
    <t>El promedio de llamadas semanales se encuentra entre 20.46 y 24.34 con 98% de confianza.</t>
  </si>
  <si>
    <t>No se rechaza la afirmación del gerente de 23 llamadas semanales.</t>
  </si>
  <si>
    <t>Una empresa fabrica focos cuya duración tiene una distribución aproximadamente normal con desviación estándar poblacional de 60 horas. Suponga que una muestra de 20 focos tiene una duración promedio de 780 horas.</t>
  </si>
  <si>
    <t>Demuestre que la duración mínima promedio de los focos es de por lo menos 750 horas, con una significancia del 3%.</t>
  </si>
  <si>
    <t>Calcule e interprete un intervalo de confianza del 96% para la duración promedio de todos los focos producidos por esta empresa.</t>
  </si>
  <si>
    <t>μ ≤ 750</t>
  </si>
  <si>
    <t>μ &gt; 750</t>
  </si>
  <si>
    <t>La duración promedio se encuentra entre 752.45 y 807.55 horas con 96% de confianza.</t>
  </si>
  <si>
    <t>Sí hay evidencia para afirmar que la duración promedio es por lo menos 750 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</si>
</sst>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00000"/>
    <numFmt numFmtId="166" formatCode="0.0"/>
  </numFmts>
  <fonts count="8" x14ac:knownFonts="1">
    <font>
      <color theme="1"/>
      <family val="2"/>
      <scheme val="minor"/>
      <sz val="11"/>
      <name val="Calibri"/>
    </font>
    <font>
      <b/>
      <sz val="14"/>
      <name val="Calibri"/>
    </font>
    <font>
      <i/>
      <sz val="11"/>
      <name val="Calibri"/>
    </font>
    <font>
      <b/>
      <sz val="11"/>
      <name val="Calibri"/>
    </font>
    <font>
      <sz val="11"/>
      <name val="Calibri"/>
    </font>
    <font>
      <b/>
      <color rgb="FF0000"/>
      <sz val="11"/>
      <name val="Calibri"/>
    </font>
    <font>
      <b/>
      <color rgb="FF0000"/>
      <sz val="22"/>
      <name val="Calibri"/>
    </font>
    <font>
      <b/>
      <color rgb="1F4E79"/>
      <sz val="11"/>
      <name val="Calibri"/>
    </font>
  </fonts>
  <fills count="7">
    <fill>
      <patternFill patternType="none"/>
    </fill>
    <fill>
      <patternFill patternType="gray125"/>
    </fill>
    <fill>
      <patternFill patternType="solid">
        <fgColor rgb="FFF2CC"/>
      </patternFill>
    </fill>
    <fill>
      <patternFill patternType="solid">
        <fgColor rgb="DDEBF7"/>
      </patternFill>
    </fill>
    <fill>
      <patternFill patternType="solid">
        <fgColor rgb="EDEDED"/>
      </patternFill>
    </fill>
    <fill>
      <patternFill patternType="solid">
        <fgColor rgb="E2F0D9"/>
      </patternFill>
    </fill>
    <fill>
      <patternFill patternType="solid">
        <fgColor rgb="FCE4D6"/>
      </patternFill>
    </fill>
  </fills>
  <borders count="2">
    <border>
      <left/>
      <right/>
      <top/>
      <bottom/>
      <diagonal/>
    </border>
    <border>
      <left style="thin">
        <color rgb="000000"/>
      </left>
      <right style="thin">
        <color rgb="000000"/>
      </right>
      <top style="thin">
        <color rgb="000000"/>
      </top>
      <bottom style="thin">
        <color rgb="000000"/>
      </bottom>
      <diagonal/>
    </border>
  </borders>
  <cellStyleXfs count="1">
    <xf numFmtId="0" fontId="0" fillId="0" borderId="0"/>
  </cellStyleXfs>
  <cellXfs count="2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6" fillId="0" borderId="0" xfId="0" applyFont="1" applyAlignment="1">
      <alignment horizontal="left" vertical="center" wrapText="1"/>
    </xf>
    <xf numFmtId="0" fontId="4" fillId="6" borderId="1" xfId="0" applyFont="1" applyFill="1" applyBorder="1" applyAlignment="1">
      <alignment horizontal="left" vertical="center" wrapText="1"/>
    </xf>
    <xf numFmtId="0" fontId="7" fillId="0" borderId="0" xfId="0" applyFont="1" applyAlignment="1">
      <alignment horizontal="left" vertical="center" wrapText="1"/>
    </xf>
    <xf numFmtId="0" fontId="4" fillId="0" borderId="0" xfId="0" applyFont="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right" vertical="center" wrapText="1"/>
    </xf>
    <xf numFmtId="164" fontId="4" fillId="0" borderId="1" xfId="0" applyNumberFormat="1" applyFont="1" applyBorder="1" applyAlignment="1">
      <alignment horizontal="right" vertical="center" wrapText="1"/>
    </xf>
    <xf numFmtId="2" fontId="4" fillId="0" borderId="1" xfId="0" applyNumberFormat="1" applyFont="1" applyBorder="1" applyAlignment="1">
      <alignment horizontal="right" vertical="center" wrapText="1"/>
    </xf>
    <xf numFmtId="1" fontId="4" fillId="0" borderId="1" xfId="0" applyNumberFormat="1" applyFont="1" applyBorder="1" applyAlignment="1">
      <alignment horizontal="right" vertical="center" wrapText="1"/>
    </xf>
    <xf numFmtId="165" fontId="4" fillId="0" borderId="1" xfId="0" applyNumberFormat="1" applyFont="1" applyBorder="1" applyAlignment="1">
      <alignment horizontal="right" vertical="center" wrapText="1"/>
    </xf>
    <xf numFmtId="0" fontId="0" fillId="0" borderId="1" xfId="0" applyBorder="1"/>
    <xf numFmtId="0" fontId="3" fillId="2" borderId="1" xfId="0" applyFont="1" applyFill="1" applyBorder="1" applyAlignment="1">
      <alignment horizontal="left" vertical="center" wrapText="1"/>
    </xf>
    <xf numFmtId="166" fontId="4" fillId="0" borderId="1" xfId="0" applyNumberFormat="1" applyFont="1" applyBorder="1" applyAlignment="1">
      <alignment horizontal="center" vertical="center" wrapText="1"/>
    </xf>
    <xf numFmtId="9" fontId="4" fillId="0" borderId="1" xfId="0" applyNumberFormat="1"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18"/>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1" t="s">
        <v>0</v>
      </c>
      <c r="C2" s="1"/>
      <c r="D2" s="1"/>
      <c r="E2" s="1"/>
      <c r="F2" s="1"/>
      <c r="G2" s="1"/>
      <c r="H2" s="1"/>
      <c r="I2" s="1"/>
      <c r="J2" s="1"/>
      <c r="K2" s="1"/>
      <c r="L2" s="1"/>
      <c r="M2" s="1"/>
      <c r="N2" s="1"/>
    </row>
    <row r="3" spans="2:14" x14ac:dyDescent="0.25">
      <c r="B3" s="2" t="s">
        <v>1</v>
      </c>
      <c r="C3" s="2"/>
      <c r="D3" s="2"/>
      <c r="E3" s="2"/>
      <c r="F3" s="2"/>
      <c r="G3" s="2"/>
      <c r="H3" s="2"/>
      <c r="I3" s="2"/>
      <c r="J3" s="2"/>
      <c r="K3" s="2"/>
      <c r="L3" s="2"/>
      <c r="M3" s="2"/>
      <c r="N3" s="2"/>
    </row>
    <row r="5" spans="2:14" x14ac:dyDescent="0.25">
      <c r="B5" s="3" t="s">
        <v>2</v>
      </c>
      <c r="C5" s="3"/>
      <c r="D5" s="3"/>
      <c r="E5" s="3"/>
      <c r="F5" s="3"/>
      <c r="G5" s="3"/>
      <c r="H5" s="3"/>
      <c r="I5" s="3"/>
      <c r="J5" s="3"/>
      <c r="K5" s="3"/>
      <c r="L5" s="3"/>
      <c r="M5" s="3"/>
      <c r="N5" s="3"/>
    </row>
    <row r="6" spans="2:14" x14ac:dyDescent="0.25">
      <c r="B6" s="4" t="s">
        <v>3</v>
      </c>
      <c r="C6" s="4" t="s">
        <v>4</v>
      </c>
      <c r="D6" s="4"/>
      <c r="E6" s="4" t="s">
        <v>5</v>
      </c>
      <c r="F6" s="4"/>
      <c r="G6" s="4"/>
      <c r="H6" s="4" t="s">
        <v>6</v>
      </c>
      <c r="I6" s="4"/>
      <c r="J6" s="4"/>
      <c r="K6" s="4"/>
      <c r="L6" s="4"/>
      <c r="M6" s="4"/>
      <c r="N6" s="4"/>
    </row>
    <row r="7" spans="2:14" x14ac:dyDescent="0.25">
      <c r="B7" s="5" t="s">
        <v>7</v>
      </c>
      <c r="C7" s="6" t="s">
        <v>8</v>
      </c>
      <c r="D7" s="6"/>
      <c r="E7" s="7" t="s">
        <v>9</v>
      </c>
      <c r="F7" s="7"/>
      <c r="G7" s="7"/>
      <c r="H7" s="8" t="s">
        <v>10</v>
      </c>
      <c r="I7" s="8"/>
      <c r="J7" s="8"/>
      <c r="K7" s="8"/>
      <c r="L7" s="8"/>
      <c r="M7" s="8"/>
      <c r="N7" s="8"/>
    </row>
    <row r="8" spans="2:14" x14ac:dyDescent="0.25">
      <c r="B8" s="5" t="s">
        <v>11</v>
      </c>
      <c r="C8" s="6" t="s">
        <v>12</v>
      </c>
      <c r="D8" s="6"/>
      <c r="E8" s="7" t="s">
        <v>13</v>
      </c>
      <c r="F8" s="7"/>
      <c r="G8" s="7"/>
      <c r="H8" s="8" t="s">
        <v>14</v>
      </c>
      <c r="I8" s="8"/>
      <c r="J8" s="8"/>
      <c r="K8" s="8"/>
      <c r="L8" s="8"/>
      <c r="M8" s="8"/>
      <c r="N8" s="8"/>
    </row>
    <row r="9" spans="2:14" x14ac:dyDescent="0.25">
      <c r="B9" s="5" t="s">
        <v>15</v>
      </c>
      <c r="C9" s="6" t="s">
        <v>16</v>
      </c>
      <c r="D9" s="6"/>
      <c r="E9" s="7" t="s">
        <v>9</v>
      </c>
      <c r="F9" s="7"/>
      <c r="G9" s="7"/>
      <c r="H9" s="8" t="s">
        <v>17</v>
      </c>
      <c r="I9" s="8"/>
      <c r="J9" s="8"/>
      <c r="K9" s="8"/>
      <c r="L9" s="8"/>
      <c r="M9" s="8"/>
      <c r="N9" s="8"/>
    </row>
    <row r="10" spans="2:14" x14ac:dyDescent="0.25">
      <c r="B10" s="5" t="s">
        <v>18</v>
      </c>
      <c r="C10" s="6" t="s">
        <v>19</v>
      </c>
      <c r="D10" s="6"/>
      <c r="E10" s="7" t="s">
        <v>13</v>
      </c>
      <c r="F10" s="7"/>
      <c r="G10" s="7"/>
      <c r="H10" s="8" t="s">
        <v>20</v>
      </c>
      <c r="I10" s="8"/>
      <c r="J10" s="8"/>
      <c r="K10" s="8"/>
      <c r="L10" s="8"/>
      <c r="M10" s="8"/>
      <c r="N10" s="8"/>
    </row>
    <row r="11" spans="2:14" x14ac:dyDescent="0.25">
      <c r="B11" s="5" t="s">
        <v>21</v>
      </c>
      <c r="C11" s="6" t="s">
        <v>22</v>
      </c>
      <c r="D11" s="6"/>
      <c r="E11" s="7" t="s">
        <v>9</v>
      </c>
      <c r="F11" s="7"/>
      <c r="G11" s="7"/>
      <c r="H11" s="8" t="s">
        <v>23</v>
      </c>
      <c r="I11" s="8"/>
      <c r="J11" s="8"/>
      <c r="K11" s="8"/>
      <c r="L11" s="8"/>
      <c r="M11" s="8"/>
      <c r="N11" s="8"/>
    </row>
    <row r="12" spans="2:14" x14ac:dyDescent="0.25">
      <c r="B12" s="5" t="s">
        <v>24</v>
      </c>
      <c r="C12" s="6" t="s">
        <v>25</v>
      </c>
      <c r="D12" s="6"/>
      <c r="E12" s="7" t="s">
        <v>13</v>
      </c>
      <c r="F12" s="7"/>
      <c r="G12" s="7"/>
      <c r="H12" s="8" t="s">
        <v>26</v>
      </c>
      <c r="I12" s="8"/>
      <c r="J12" s="8"/>
      <c r="K12" s="8"/>
      <c r="L12" s="8"/>
      <c r="M12" s="8"/>
      <c r="N12" s="8"/>
    </row>
    <row r="13" spans="2:14" x14ac:dyDescent="0.25">
      <c r="B13" s="5" t="s">
        <v>27</v>
      </c>
      <c r="C13" s="6" t="s">
        <v>28</v>
      </c>
      <c r="D13" s="6"/>
      <c r="E13" s="7" t="s">
        <v>9</v>
      </c>
      <c r="F13" s="7"/>
      <c r="G13" s="7"/>
      <c r="H13" s="8" t="s">
        <v>29</v>
      </c>
      <c r="I13" s="8"/>
      <c r="J13" s="8"/>
      <c r="K13" s="8"/>
      <c r="L13" s="8"/>
      <c r="M13" s="8"/>
      <c r="N13" s="8"/>
    </row>
    <row r="14" spans="2:14" x14ac:dyDescent="0.25">
      <c r="B14" s="5" t="s">
        <v>30</v>
      </c>
      <c r="C14" s="6" t="s">
        <v>31</v>
      </c>
      <c r="D14" s="6"/>
      <c r="E14" s="7" t="s">
        <v>9</v>
      </c>
      <c r="F14" s="7"/>
      <c r="G14" s="7"/>
      <c r="H14" s="8" t="s">
        <v>32</v>
      </c>
      <c r="I14" s="8"/>
      <c r="J14" s="8"/>
      <c r="K14" s="8"/>
      <c r="L14" s="8"/>
      <c r="M14" s="8"/>
      <c r="N14" s="8"/>
    </row>
    <row r="15" spans="2:14" x14ac:dyDescent="0.25">
      <c r="B15" s="5" t="s">
        <v>33</v>
      </c>
      <c r="C15" s="6" t="s">
        <v>34</v>
      </c>
      <c r="D15" s="6"/>
      <c r="E15" s="7" t="s">
        <v>13</v>
      </c>
      <c r="F15" s="7"/>
      <c r="G15" s="7"/>
      <c r="H15" s="8" t="s">
        <v>35</v>
      </c>
      <c r="I15" s="8"/>
      <c r="J15" s="8"/>
      <c r="K15" s="8"/>
      <c r="L15" s="8"/>
      <c r="M15" s="8"/>
      <c r="N15" s="8"/>
    </row>
    <row r="16" spans="2:14" x14ac:dyDescent="0.25">
      <c r="B16" s="5" t="s">
        <v>36</v>
      </c>
      <c r="C16" s="6" t="s">
        <v>37</v>
      </c>
      <c r="D16" s="6"/>
      <c r="E16" s="7" t="s">
        <v>9</v>
      </c>
      <c r="F16" s="7"/>
      <c r="G16" s="7"/>
      <c r="H16" s="8" t="s">
        <v>38</v>
      </c>
      <c r="I16" s="8"/>
      <c r="J16" s="8"/>
      <c r="K16" s="8"/>
      <c r="L16" s="8"/>
      <c r="M16" s="8"/>
      <c r="N16" s="8"/>
    </row>
    <row r="17" spans="2:14" x14ac:dyDescent="0.25">
      <c r="B17" s="5" t="s">
        <v>39</v>
      </c>
      <c r="C17" s="6" t="s">
        <v>40</v>
      </c>
      <c r="D17" s="6"/>
      <c r="E17" s="7" t="s">
        <v>13</v>
      </c>
      <c r="F17" s="7"/>
      <c r="G17" s="7"/>
      <c r="H17" s="8" t="s">
        <v>41</v>
      </c>
      <c r="I17" s="8"/>
      <c r="J17" s="8"/>
      <c r="K17" s="8"/>
      <c r="L17" s="8"/>
      <c r="M17" s="8"/>
      <c r="N17" s="8"/>
    </row>
    <row r="18" spans="2:14" x14ac:dyDescent="0.25">
      <c r="B18" s="5" t="s">
        <v>42</v>
      </c>
      <c r="C18" s="6" t="s">
        <v>43</v>
      </c>
      <c r="D18" s="6"/>
      <c r="E18" s="7" t="s">
        <v>9</v>
      </c>
      <c r="F18" s="7"/>
      <c r="G18" s="7"/>
      <c r="H18" s="8" t="s">
        <v>44</v>
      </c>
      <c r="I18" s="8"/>
      <c r="J18" s="8"/>
      <c r="K18" s="8"/>
      <c r="L18" s="8"/>
      <c r="M18" s="8"/>
      <c r="N18" s="8"/>
    </row>
  </sheetData>
  <mergeCells count="42">
    <mergeCell ref="B2:N2"/>
    <mergeCell ref="B3:N3"/>
    <mergeCell ref="B5:N5"/>
    <mergeCell ref="C6:D6"/>
    <mergeCell ref="E6:G6"/>
    <mergeCell ref="H6:N6"/>
    <mergeCell ref="C7:D7"/>
    <mergeCell ref="E7:G7"/>
    <mergeCell ref="H7:N7"/>
    <mergeCell ref="C8:D8"/>
    <mergeCell ref="E8:G8"/>
    <mergeCell ref="H8:N8"/>
    <mergeCell ref="C9:D9"/>
    <mergeCell ref="E9:G9"/>
    <mergeCell ref="H9:N9"/>
    <mergeCell ref="C10:D10"/>
    <mergeCell ref="E10:G10"/>
    <mergeCell ref="H10:N10"/>
    <mergeCell ref="C11:D11"/>
    <mergeCell ref="E11:G11"/>
    <mergeCell ref="H11:N11"/>
    <mergeCell ref="C12:D12"/>
    <mergeCell ref="E12:G12"/>
    <mergeCell ref="H12:N12"/>
    <mergeCell ref="C13:D13"/>
    <mergeCell ref="E13:G13"/>
    <mergeCell ref="H13:N13"/>
    <mergeCell ref="C14:D14"/>
    <mergeCell ref="E14:G14"/>
    <mergeCell ref="H14:N14"/>
    <mergeCell ref="C15:D15"/>
    <mergeCell ref="E15:G15"/>
    <mergeCell ref="H15:N15"/>
    <mergeCell ref="C16:D16"/>
    <mergeCell ref="E16:G16"/>
    <mergeCell ref="H16:N16"/>
    <mergeCell ref="C17:D17"/>
    <mergeCell ref="E17:G17"/>
    <mergeCell ref="H17:N17"/>
    <mergeCell ref="C18:D18"/>
    <mergeCell ref="E18:G18"/>
    <mergeCell ref="H18:N1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2"/>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9" t="s">
        <v>7</v>
      </c>
      <c r="C2" s="9"/>
      <c r="D2" s="9"/>
      <c r="E2" s="9"/>
      <c r="F2" s="9"/>
      <c r="G2" s="9"/>
      <c r="H2" s="9"/>
      <c r="I2" s="9"/>
      <c r="J2" s="9"/>
      <c r="K2" s="9"/>
      <c r="L2" s="9"/>
      <c r="M2" s="9"/>
      <c r="N2" s="9"/>
    </row>
    <row r="4" ht="28" customHeight="1" spans="2:14" x14ac:dyDescent="0.25">
      <c r="B4" s="10" t="s">
        <v>45</v>
      </c>
      <c r="C4" s="10"/>
      <c r="D4" s="10"/>
      <c r="E4" s="10"/>
      <c r="F4" s="10"/>
      <c r="G4" s="10"/>
      <c r="H4" s="10"/>
      <c r="I4" s="10"/>
      <c r="J4" s="10"/>
      <c r="K4" s="10"/>
      <c r="L4" s="10"/>
      <c r="M4" s="10"/>
      <c r="N4" s="10"/>
    </row>
    <row r="5" ht="28" customHeight="1" spans="2:14" x14ac:dyDescent="0.25">
      <c r="B5" s="10"/>
      <c r="C5" s="10"/>
      <c r="D5" s="10"/>
      <c r="E5" s="10"/>
      <c r="F5" s="10"/>
      <c r="G5" s="10"/>
      <c r="H5" s="10"/>
      <c r="I5" s="10"/>
      <c r="J5" s="10"/>
      <c r="K5" s="10"/>
      <c r="L5" s="10"/>
      <c r="M5" s="10"/>
      <c r="N5" s="10"/>
    </row>
    <row r="6" ht="28" customHeight="1" spans="2:14" x14ac:dyDescent="0.25">
      <c r="B6" s="10"/>
      <c r="C6" s="10"/>
      <c r="D6" s="10"/>
      <c r="E6" s="10"/>
      <c r="F6" s="10"/>
      <c r="G6" s="10"/>
      <c r="H6" s="10"/>
      <c r="I6" s="10"/>
      <c r="J6" s="10"/>
      <c r="K6" s="10"/>
      <c r="L6" s="10"/>
      <c r="M6" s="10"/>
      <c r="N6" s="10"/>
    </row>
    <row r="7" ht="28" customHeight="1" spans="2:14" x14ac:dyDescent="0.25">
      <c r="B7" s="10"/>
      <c r="C7" s="10"/>
      <c r="D7" s="10"/>
      <c r="E7" s="10"/>
      <c r="F7" s="10"/>
      <c r="G7" s="10"/>
      <c r="H7" s="10"/>
      <c r="I7" s="10"/>
      <c r="J7" s="10"/>
      <c r="K7" s="10"/>
      <c r="L7" s="10"/>
      <c r="M7" s="10"/>
      <c r="N7" s="10"/>
    </row>
    <row r="9" spans="2:14" x14ac:dyDescent="0.25">
      <c r="B9" s="11" t="s">
        <v>46</v>
      </c>
      <c r="C9" s="12" t="s">
        <v>47</v>
      </c>
      <c r="D9" s="12"/>
      <c r="E9" s="12"/>
      <c r="F9" s="12"/>
      <c r="G9" s="12"/>
      <c r="H9" s="12"/>
      <c r="I9" s="12"/>
      <c r="J9" s="12"/>
      <c r="K9" s="12"/>
      <c r="L9" s="12"/>
      <c r="M9" s="12"/>
      <c r="N9" s="12"/>
    </row>
    <row r="10" spans="3:14" x14ac:dyDescent="0.25">
      <c r="C10" s="12"/>
      <c r="D10" s="12"/>
      <c r="E10" s="12"/>
      <c r="F10" s="12"/>
      <c r="G10" s="12"/>
      <c r="H10" s="12"/>
      <c r="I10" s="12"/>
      <c r="J10" s="12"/>
      <c r="K10" s="12"/>
      <c r="L10" s="12"/>
      <c r="M10" s="12"/>
      <c r="N10" s="12"/>
    </row>
    <row r="11" spans="2:14" x14ac:dyDescent="0.25">
      <c r="B11" s="11" t="s">
        <v>48</v>
      </c>
      <c r="C11" s="12" t="s">
        <v>49</v>
      </c>
      <c r="D11" s="12"/>
      <c r="E11" s="12"/>
      <c r="F11" s="12"/>
      <c r="G11" s="12"/>
      <c r="H11" s="12"/>
      <c r="I11" s="12"/>
      <c r="J11" s="12"/>
      <c r="K11" s="12"/>
      <c r="L11" s="12"/>
      <c r="M11" s="12"/>
      <c r="N11" s="12"/>
    </row>
    <row r="12" spans="3:14" x14ac:dyDescent="0.25">
      <c r="C12" s="12"/>
      <c r="D12" s="12"/>
      <c r="E12" s="12"/>
      <c r="F12" s="12"/>
      <c r="G12" s="12"/>
      <c r="H12" s="12"/>
      <c r="I12" s="12"/>
      <c r="J12" s="12"/>
      <c r="K12" s="12"/>
      <c r="L12" s="12"/>
      <c r="M12" s="12"/>
      <c r="N12" s="12"/>
    </row>
    <row r="15" spans="2:14" x14ac:dyDescent="0.25">
      <c r="B15" s="4" t="s">
        <v>50</v>
      </c>
      <c r="C15" s="4"/>
      <c r="D15" s="4"/>
      <c r="E15" s="4"/>
      <c r="F15" s="4"/>
      <c r="G15" s="4"/>
      <c r="I15" s="4" t="s">
        <v>51</v>
      </c>
      <c r="J15" s="4"/>
      <c r="K15" s="4"/>
      <c r="L15" s="4"/>
      <c r="M15" s="4"/>
      <c r="N15" s="4"/>
    </row>
    <row r="16" spans="2:14" x14ac:dyDescent="0.25">
      <c r="B16" s="3" t="s">
        <v>52</v>
      </c>
      <c r="C16" s="3"/>
      <c r="D16" s="3"/>
      <c r="E16" s="3" t="s">
        <v>53</v>
      </c>
      <c r="F16" s="3" t="s">
        <v>54</v>
      </c>
      <c r="G16" s="3"/>
      <c r="I16" s="3" t="s">
        <v>52</v>
      </c>
      <c r="J16" s="3"/>
      <c r="K16" s="3"/>
      <c r="L16" s="3" t="s">
        <v>53</v>
      </c>
      <c r="M16" s="3" t="s">
        <v>54</v>
      </c>
      <c r="N16" s="3"/>
    </row>
    <row r="17" spans="2:14" x14ac:dyDescent="0.25">
      <c r="B17" s="13" t="s">
        <v>55</v>
      </c>
      <c r="C17" s="13"/>
      <c r="D17" s="13"/>
      <c r="E17" s="6" t="s">
        <v>56</v>
      </c>
      <c r="F17" s="14" t="s">
        <v>57</v>
      </c>
      <c r="G17" s="14"/>
      <c r="I17" s="13" t="s">
        <v>58</v>
      </c>
      <c r="J17" s="13"/>
      <c r="K17" s="13"/>
      <c r="L17" s="6" t="s">
        <v>59</v>
      </c>
      <c r="M17" s="15">
        <v>0.95</v>
      </c>
      <c r="N17" s="15"/>
    </row>
    <row r="18" spans="2:14" x14ac:dyDescent="0.25">
      <c r="B18" s="13" t="s">
        <v>60</v>
      </c>
      <c r="C18" s="13"/>
      <c r="D18" s="13"/>
      <c r="E18" s="6" t="s">
        <v>61</v>
      </c>
      <c r="F18" s="14" t="s">
        <v>62</v>
      </c>
      <c r="G18" s="14"/>
      <c r="I18" s="13" t="s">
        <v>63</v>
      </c>
      <c r="J18" s="13"/>
      <c r="K18" s="13"/>
      <c r="L18" s="6" t="s">
        <v>64</v>
      </c>
      <c r="M18" s="16">
        <v>450</v>
      </c>
      <c r="N18" s="16"/>
    </row>
    <row r="19" spans="2:14" x14ac:dyDescent="0.25">
      <c r="B19" s="13" t="s">
        <v>65</v>
      </c>
      <c r="C19" s="13"/>
      <c r="D19" s="13"/>
      <c r="E19" s="6" t="s">
        <v>66</v>
      </c>
      <c r="F19" s="16">
        <v>0.05</v>
      </c>
      <c r="G19" s="16"/>
      <c r="I19" s="13" t="s">
        <v>67</v>
      </c>
      <c r="J19" s="13"/>
      <c r="K19" s="13"/>
      <c r="L19" s="6" t="s">
        <v>68</v>
      </c>
      <c r="M19" s="16">
        <v>100</v>
      </c>
      <c r="N19" s="16"/>
    </row>
    <row r="20" spans="2:14" x14ac:dyDescent="0.25">
      <c r="B20" s="13" t="s">
        <v>63</v>
      </c>
      <c r="C20" s="13"/>
      <c r="D20" s="13"/>
      <c r="E20" s="6" t="s">
        <v>64</v>
      </c>
      <c r="F20" s="16">
        <v>450</v>
      </c>
      <c r="G20" s="16"/>
      <c r="I20" s="13" t="s">
        <v>69</v>
      </c>
      <c r="J20" s="13"/>
      <c r="K20" s="13"/>
      <c r="L20" s="6" t="s">
        <v>70</v>
      </c>
      <c r="M20" s="17">
        <v>100</v>
      </c>
      <c r="N20" s="17"/>
    </row>
    <row r="21" spans="2:14" x14ac:dyDescent="0.25">
      <c r="B21" s="13" t="s">
        <v>71</v>
      </c>
      <c r="C21" s="13"/>
      <c r="D21" s="13"/>
      <c r="E21" s="6" t="s">
        <v>72</v>
      </c>
      <c r="F21" s="16">
        <v>400</v>
      </c>
      <c r="G21" s="16"/>
      <c r="I21" s="13" t="s">
        <v>73</v>
      </c>
      <c r="J21" s="13"/>
      <c r="K21" s="13"/>
      <c r="L21" s="6" t="s">
        <v>74</v>
      </c>
      <c r="M21" s="18">
        <f>_xlfn.NORM.S.INV((1+M17)/2)</f>
        <v>1.959963986120195</v>
      </c>
      <c r="N21" s="18"/>
    </row>
    <row r="22" spans="2:14" x14ac:dyDescent="0.25">
      <c r="B22" s="13" t="s">
        <v>67</v>
      </c>
      <c r="C22" s="13"/>
      <c r="D22" s="13"/>
      <c r="E22" s="6" t="s">
        <v>68</v>
      </c>
      <c r="F22" s="16">
        <v>100</v>
      </c>
      <c r="G22" s="16"/>
      <c r="I22" s="13" t="s">
        <v>75</v>
      </c>
      <c r="J22" s="13"/>
      <c r="K22" s="13"/>
      <c r="L22" s="6" t="s">
        <v>76</v>
      </c>
      <c r="M22" s="18">
        <f>M21*M19/SQRT(M20)</f>
        <v>19.59963986120195</v>
      </c>
      <c r="N22" s="18"/>
    </row>
    <row r="23" spans="2:14" x14ac:dyDescent="0.25">
      <c r="B23" s="13" t="s">
        <v>69</v>
      </c>
      <c r="C23" s="13"/>
      <c r="D23" s="13"/>
      <c r="E23" s="6" t="s">
        <v>70</v>
      </c>
      <c r="F23" s="17">
        <v>100</v>
      </c>
      <c r="G23" s="17"/>
      <c r="I23" s="13" t="s">
        <v>77</v>
      </c>
      <c r="J23" s="13"/>
      <c r="K23" s="13"/>
      <c r="L23" s="6" t="s">
        <v>78</v>
      </c>
      <c r="M23" s="18">
        <f>M18-M22</f>
        <v>430.4003601387981</v>
      </c>
      <c r="N23" s="18"/>
    </row>
    <row r="24" spans="2:14" x14ac:dyDescent="0.25">
      <c r="B24" s="19"/>
      <c r="C24" s="19"/>
      <c r="D24" s="19"/>
      <c r="E24" s="19"/>
      <c r="F24" s="19"/>
      <c r="G24" s="19"/>
      <c r="I24" s="13" t="s">
        <v>79</v>
      </c>
      <c r="J24" s="13"/>
      <c r="K24" s="13"/>
      <c r="L24" s="6" t="s">
        <v>80</v>
      </c>
      <c r="M24" s="18">
        <f>M18+M22</f>
        <v>469.5996398612019</v>
      </c>
      <c r="N24" s="18"/>
    </row>
    <row r="25" spans="2:14" x14ac:dyDescent="0.25">
      <c r="B25" s="13" t="s">
        <v>81</v>
      </c>
      <c r="C25" s="13"/>
      <c r="D25" s="13"/>
      <c r="E25" s="6" t="s">
        <v>82</v>
      </c>
      <c r="F25" s="18">
        <f>(F20-F21)/(F22/SQRT(F23))</f>
        <v>5</v>
      </c>
      <c r="G25" s="18"/>
      <c r="I25" s="19"/>
      <c r="J25" s="19"/>
      <c r="K25" s="19"/>
      <c r="L25" s="19"/>
      <c r="M25" s="19"/>
      <c r="N25" s="19"/>
    </row>
    <row r="26" spans="2:14" x14ac:dyDescent="0.25">
      <c r="B26" s="13" t="s">
        <v>83</v>
      </c>
      <c r="C26" s="13"/>
      <c r="D26" s="13"/>
      <c r="E26" s="6" t="s">
        <v>84</v>
      </c>
      <c r="F26" s="18">
        <f>_xlfn.NORM.S.INV(1-F19)</f>
        <v>1.644853625133699</v>
      </c>
      <c r="G26" s="18"/>
      <c r="I26" s="20" t="s">
        <v>85</v>
      </c>
      <c r="J26" s="20"/>
      <c r="K26" s="20"/>
      <c r="L26" s="7" t="s">
        <v>86</v>
      </c>
      <c r="M26" s="7"/>
      <c r="N26" s="7"/>
    </row>
    <row r="27" spans="2:14" x14ac:dyDescent="0.25">
      <c r="B27" s="13" t="s">
        <v>87</v>
      </c>
      <c r="C27" s="13"/>
      <c r="D27" s="13"/>
      <c r="E27" s="6" t="s">
        <v>88</v>
      </c>
      <c r="F27" s="18">
        <f>1-_xlfn.NORM.S.DIST(F25,1)</f>
        <v>2.871050133190778e-7</v>
      </c>
      <c r="G27" s="18"/>
      <c r="I27" s="19"/>
      <c r="J27" s="19"/>
      <c r="K27" s="19"/>
      <c r="L27" s="7"/>
      <c r="M27" s="7"/>
      <c r="N27" s="7"/>
    </row>
    <row r="28" spans="2:14" x14ac:dyDescent="0.25">
      <c r="B28" s="20" t="s">
        <v>5</v>
      </c>
      <c r="C28" s="20"/>
      <c r="D28" s="20"/>
      <c r="E28" s="7" t="s">
        <v>9</v>
      </c>
      <c r="F28" s="7"/>
      <c r="G28" s="7"/>
      <c r="I28" s="19"/>
      <c r="J28" s="19"/>
      <c r="K28" s="19"/>
      <c r="L28" s="7"/>
      <c r="M28" s="7"/>
      <c r="N28" s="7"/>
    </row>
    <row r="29" spans="2:7" x14ac:dyDescent="0.25">
      <c r="B29" s="19"/>
      <c r="C29" s="19"/>
      <c r="D29" s="19"/>
      <c r="E29" s="19"/>
      <c r="F29" s="19"/>
      <c r="G29" s="19"/>
    </row>
    <row r="30" spans="2:7" x14ac:dyDescent="0.25">
      <c r="B30" s="20" t="s">
        <v>85</v>
      </c>
      <c r="C30" s="20"/>
      <c r="D30" s="20"/>
      <c r="E30" s="7" t="s">
        <v>89</v>
      </c>
      <c r="F30" s="7"/>
      <c r="G30" s="7"/>
    </row>
    <row r="31" spans="2:7" x14ac:dyDescent="0.25">
      <c r="B31" s="19"/>
      <c r="C31" s="19"/>
      <c r="D31" s="19"/>
      <c r="E31" s="7"/>
      <c r="F31" s="7"/>
      <c r="G31" s="7"/>
    </row>
    <row r="32" spans="2:7" x14ac:dyDescent="0.25">
      <c r="B32" s="19"/>
      <c r="C32" s="19"/>
      <c r="D32" s="19"/>
      <c r="E32" s="7"/>
      <c r="F32" s="7"/>
      <c r="G32" s="7"/>
    </row>
  </sheetData>
  <mergeCells count="52">
    <mergeCell ref="B2:N2"/>
    <mergeCell ref="B4:N7"/>
    <mergeCell ref="C9:N10"/>
    <mergeCell ref="C11:N12"/>
    <mergeCell ref="B15:G15"/>
    <mergeCell ref="I15:N15"/>
    <mergeCell ref="B16:D16"/>
    <mergeCell ref="F16:G16"/>
    <mergeCell ref="I16:K16"/>
    <mergeCell ref="M16:N16"/>
    <mergeCell ref="B17:D17"/>
    <mergeCell ref="F17:G17"/>
    <mergeCell ref="I17:K17"/>
    <mergeCell ref="M17:N17"/>
    <mergeCell ref="B18:D18"/>
    <mergeCell ref="F18:G18"/>
    <mergeCell ref="I18:K18"/>
    <mergeCell ref="M18:N18"/>
    <mergeCell ref="B19:D19"/>
    <mergeCell ref="F19:G19"/>
    <mergeCell ref="I19:K19"/>
    <mergeCell ref="M19:N19"/>
    <mergeCell ref="B20:D20"/>
    <mergeCell ref="F20:G20"/>
    <mergeCell ref="I20:K20"/>
    <mergeCell ref="M20:N20"/>
    <mergeCell ref="B21:D21"/>
    <mergeCell ref="F21:G21"/>
    <mergeCell ref="I21:K21"/>
    <mergeCell ref="M21:N21"/>
    <mergeCell ref="B22:D22"/>
    <mergeCell ref="F22:G22"/>
    <mergeCell ref="I22:K22"/>
    <mergeCell ref="M22:N22"/>
    <mergeCell ref="B23:D23"/>
    <mergeCell ref="F23:G23"/>
    <mergeCell ref="I23:K23"/>
    <mergeCell ref="M23:N23"/>
    <mergeCell ref="I24:K24"/>
    <mergeCell ref="M24:N24"/>
    <mergeCell ref="B25:D25"/>
    <mergeCell ref="F25:G25"/>
    <mergeCell ref="B26:D26"/>
    <mergeCell ref="F26:G26"/>
    <mergeCell ref="I26:K26"/>
    <mergeCell ref="L26:N28"/>
    <mergeCell ref="B27:D27"/>
    <mergeCell ref="F27:G27"/>
    <mergeCell ref="B28:D28"/>
    <mergeCell ref="E28:G28"/>
    <mergeCell ref="B30:D30"/>
    <mergeCell ref="E30:G32"/>
  </mergeCells>
  <pageMargins left="0.25" right="0.25" top="0.4" bottom="0.4" header="0.2" footer="0.2"/>
  <pageSetup orientation="landscape"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2"/>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9" t="s">
        <v>11</v>
      </c>
      <c r="C2" s="9"/>
      <c r="D2" s="9"/>
      <c r="E2" s="9"/>
      <c r="F2" s="9"/>
      <c r="G2" s="9"/>
      <c r="H2" s="9"/>
      <c r="I2" s="9"/>
      <c r="J2" s="9"/>
      <c r="K2" s="9"/>
      <c r="L2" s="9"/>
      <c r="M2" s="9"/>
      <c r="N2" s="9"/>
    </row>
    <row r="4" ht="28" customHeight="1" spans="2:14" x14ac:dyDescent="0.25">
      <c r="B4" s="10" t="s">
        <v>90</v>
      </c>
      <c r="C4" s="10"/>
      <c r="D4" s="10"/>
      <c r="E4" s="10"/>
      <c r="F4" s="10"/>
      <c r="G4" s="10"/>
      <c r="H4" s="10"/>
      <c r="I4" s="10"/>
      <c r="J4" s="10"/>
      <c r="K4" s="10"/>
      <c r="L4" s="10"/>
      <c r="M4" s="10"/>
      <c r="N4" s="10"/>
    </row>
    <row r="5" ht="28" customHeight="1" spans="2:14" x14ac:dyDescent="0.25">
      <c r="B5" s="10"/>
      <c r="C5" s="10"/>
      <c r="D5" s="10"/>
      <c r="E5" s="10"/>
      <c r="F5" s="10"/>
      <c r="G5" s="10"/>
      <c r="H5" s="10"/>
      <c r="I5" s="10"/>
      <c r="J5" s="10"/>
      <c r="K5" s="10"/>
      <c r="L5" s="10"/>
      <c r="M5" s="10"/>
      <c r="N5" s="10"/>
    </row>
    <row r="6" ht="28" customHeight="1" spans="2:14" x14ac:dyDescent="0.25">
      <c r="B6" s="10"/>
      <c r="C6" s="10"/>
      <c r="D6" s="10"/>
      <c r="E6" s="10"/>
      <c r="F6" s="10"/>
      <c r="G6" s="10"/>
      <c r="H6" s="10"/>
      <c r="I6" s="10"/>
      <c r="J6" s="10"/>
      <c r="K6" s="10"/>
      <c r="L6" s="10"/>
      <c r="M6" s="10"/>
      <c r="N6" s="10"/>
    </row>
    <row r="7" ht="28" customHeight="1" spans="2:14" x14ac:dyDescent="0.25">
      <c r="B7" s="10"/>
      <c r="C7" s="10"/>
      <c r="D7" s="10"/>
      <c r="E7" s="10"/>
      <c r="F7" s="10"/>
      <c r="G7" s="10"/>
      <c r="H7" s="10"/>
      <c r="I7" s="10"/>
      <c r="J7" s="10"/>
      <c r="K7" s="10"/>
      <c r="L7" s="10"/>
      <c r="M7" s="10"/>
      <c r="N7" s="10"/>
    </row>
    <row r="9" spans="2:14" x14ac:dyDescent="0.25">
      <c r="B9" s="11" t="s">
        <v>46</v>
      </c>
      <c r="C9" s="12" t="s">
        <v>91</v>
      </c>
      <c r="D9" s="12"/>
      <c r="E9" s="12"/>
      <c r="F9" s="12"/>
      <c r="G9" s="12"/>
      <c r="H9" s="12"/>
      <c r="I9" s="12"/>
      <c r="J9" s="12"/>
      <c r="K9" s="12"/>
      <c r="L9" s="12"/>
      <c r="M9" s="12"/>
      <c r="N9" s="12"/>
    </row>
    <row r="10" spans="3:14" x14ac:dyDescent="0.25">
      <c r="C10" s="12"/>
      <c r="D10" s="12"/>
      <c r="E10" s="12"/>
      <c r="F10" s="12"/>
      <c r="G10" s="12"/>
      <c r="H10" s="12"/>
      <c r="I10" s="12"/>
      <c r="J10" s="12"/>
      <c r="K10" s="12"/>
      <c r="L10" s="12"/>
      <c r="M10" s="12"/>
      <c r="N10" s="12"/>
    </row>
    <row r="11" spans="2:14" x14ac:dyDescent="0.25">
      <c r="B11" s="11" t="s">
        <v>48</v>
      </c>
      <c r="C11" s="12" t="s">
        <v>92</v>
      </c>
      <c r="D11" s="12"/>
      <c r="E11" s="12"/>
      <c r="F11" s="12"/>
      <c r="G11" s="12"/>
      <c r="H11" s="12"/>
      <c r="I11" s="12"/>
      <c r="J11" s="12"/>
      <c r="K11" s="12"/>
      <c r="L11" s="12"/>
      <c r="M11" s="12"/>
      <c r="N11" s="12"/>
    </row>
    <row r="12" spans="3:14" x14ac:dyDescent="0.25">
      <c r="C12" s="12"/>
      <c r="D12" s="12"/>
      <c r="E12" s="12"/>
      <c r="F12" s="12"/>
      <c r="G12" s="12"/>
      <c r="H12" s="12"/>
      <c r="I12" s="12"/>
      <c r="J12" s="12"/>
      <c r="K12" s="12"/>
      <c r="L12" s="12"/>
      <c r="M12" s="12"/>
      <c r="N12" s="12"/>
    </row>
    <row r="15" spans="2:14" x14ac:dyDescent="0.25">
      <c r="B15" s="4" t="s">
        <v>50</v>
      </c>
      <c r="C15" s="4"/>
      <c r="D15" s="4"/>
      <c r="E15" s="4"/>
      <c r="F15" s="4"/>
      <c r="G15" s="4"/>
      <c r="I15" s="4" t="s">
        <v>51</v>
      </c>
      <c r="J15" s="4"/>
      <c r="K15" s="4"/>
      <c r="L15" s="4"/>
      <c r="M15" s="4"/>
      <c r="N15" s="4"/>
    </row>
    <row r="16" spans="2:14" x14ac:dyDescent="0.25">
      <c r="B16" s="3" t="s">
        <v>52</v>
      </c>
      <c r="C16" s="3"/>
      <c r="D16" s="3"/>
      <c r="E16" s="3" t="s">
        <v>53</v>
      </c>
      <c r="F16" s="3" t="s">
        <v>54</v>
      </c>
      <c r="G16" s="3"/>
      <c r="I16" s="3" t="s">
        <v>52</v>
      </c>
      <c r="J16" s="3"/>
      <c r="K16" s="3"/>
      <c r="L16" s="3" t="s">
        <v>53</v>
      </c>
      <c r="M16" s="3" t="s">
        <v>54</v>
      </c>
      <c r="N16" s="3"/>
    </row>
    <row r="17" spans="2:14" x14ac:dyDescent="0.25">
      <c r="B17" s="13" t="s">
        <v>55</v>
      </c>
      <c r="C17" s="13"/>
      <c r="D17" s="13"/>
      <c r="E17" s="6" t="s">
        <v>56</v>
      </c>
      <c r="F17" s="14" t="s">
        <v>93</v>
      </c>
      <c r="G17" s="14"/>
      <c r="I17" s="13" t="s">
        <v>58</v>
      </c>
      <c r="J17" s="13"/>
      <c r="K17" s="13"/>
      <c r="L17" s="6" t="s">
        <v>59</v>
      </c>
      <c r="M17" s="15">
        <v>0.92</v>
      </c>
      <c r="N17" s="15"/>
    </row>
    <row r="18" spans="2:14" x14ac:dyDescent="0.25">
      <c r="B18" s="13" t="s">
        <v>60</v>
      </c>
      <c r="C18" s="13"/>
      <c r="D18" s="13"/>
      <c r="E18" s="6" t="s">
        <v>61</v>
      </c>
      <c r="F18" s="14" t="s">
        <v>94</v>
      </c>
      <c r="G18" s="14"/>
      <c r="I18" s="13" t="s">
        <v>63</v>
      </c>
      <c r="J18" s="13"/>
      <c r="K18" s="13"/>
      <c r="L18" s="6" t="s">
        <v>64</v>
      </c>
      <c r="M18" s="16">
        <v>950</v>
      </c>
      <c r="N18" s="16"/>
    </row>
    <row r="19" spans="2:14" x14ac:dyDescent="0.25">
      <c r="B19" s="13" t="s">
        <v>65</v>
      </c>
      <c r="C19" s="13"/>
      <c r="D19" s="13"/>
      <c r="E19" s="6" t="s">
        <v>66</v>
      </c>
      <c r="F19" s="16">
        <v>0.01</v>
      </c>
      <c r="G19" s="16"/>
      <c r="I19" s="13" t="s">
        <v>67</v>
      </c>
      <c r="J19" s="13"/>
      <c r="K19" s="13"/>
      <c r="L19" s="6" t="s">
        <v>95</v>
      </c>
      <c r="M19" s="16">
        <v>360</v>
      </c>
      <c r="N19" s="16"/>
    </row>
    <row r="20" spans="2:14" x14ac:dyDescent="0.25">
      <c r="B20" s="13" t="s">
        <v>63</v>
      </c>
      <c r="C20" s="13"/>
      <c r="D20" s="13"/>
      <c r="E20" s="6" t="s">
        <v>64</v>
      </c>
      <c r="F20" s="16">
        <v>950</v>
      </c>
      <c r="G20" s="16"/>
      <c r="I20" s="13" t="s">
        <v>69</v>
      </c>
      <c r="J20" s="13"/>
      <c r="K20" s="13"/>
      <c r="L20" s="6" t="s">
        <v>70</v>
      </c>
      <c r="M20" s="17">
        <v>36</v>
      </c>
      <c r="N20" s="17"/>
    </row>
    <row r="21" spans="2:14" x14ac:dyDescent="0.25">
      <c r="B21" s="13" t="s">
        <v>71</v>
      </c>
      <c r="C21" s="13"/>
      <c r="D21" s="13"/>
      <c r="E21" s="6" t="s">
        <v>72</v>
      </c>
      <c r="F21" s="16">
        <v>1000</v>
      </c>
      <c r="G21" s="16"/>
      <c r="I21" s="13" t="s">
        <v>73</v>
      </c>
      <c r="J21" s="13"/>
      <c r="K21" s="13"/>
      <c r="L21" s="6" t="s">
        <v>74</v>
      </c>
      <c r="M21" s="18">
        <f>_xlfn.NORM.S.INV((1+M17)/2)</f>
        <v>1.7506860728532083</v>
      </c>
      <c r="N21" s="18"/>
    </row>
    <row r="22" spans="2:14" x14ac:dyDescent="0.25">
      <c r="B22" s="13" t="s">
        <v>67</v>
      </c>
      <c r="C22" s="13"/>
      <c r="D22" s="13"/>
      <c r="E22" s="6" t="s">
        <v>95</v>
      </c>
      <c r="F22" s="16">
        <v>360</v>
      </c>
      <c r="G22" s="16"/>
      <c r="I22" s="13" t="s">
        <v>75</v>
      </c>
      <c r="J22" s="13"/>
      <c r="K22" s="13"/>
      <c r="L22" s="6" t="s">
        <v>76</v>
      </c>
      <c r="M22" s="18">
        <f>M21*M19/SQRT(M20)</f>
        <v>105.04116437119251</v>
      </c>
      <c r="N22" s="18"/>
    </row>
    <row r="23" spans="2:14" x14ac:dyDescent="0.25">
      <c r="B23" s="13" t="s">
        <v>69</v>
      </c>
      <c r="C23" s="13"/>
      <c r="D23" s="13"/>
      <c r="E23" s="6" t="s">
        <v>70</v>
      </c>
      <c r="F23" s="17">
        <v>36</v>
      </c>
      <c r="G23" s="17"/>
      <c r="I23" s="13" t="s">
        <v>77</v>
      </c>
      <c r="J23" s="13"/>
      <c r="K23" s="13"/>
      <c r="L23" s="6" t="s">
        <v>78</v>
      </c>
      <c r="M23" s="18">
        <f>M18-M22</f>
        <v>844.9588356288075</v>
      </c>
      <c r="N23" s="18"/>
    </row>
    <row r="24" spans="2:14" x14ac:dyDescent="0.25">
      <c r="B24" s="19"/>
      <c r="C24" s="19"/>
      <c r="D24" s="19"/>
      <c r="E24" s="19"/>
      <c r="F24" s="19"/>
      <c r="G24" s="19"/>
      <c r="I24" s="13" t="s">
        <v>79</v>
      </c>
      <c r="J24" s="13"/>
      <c r="K24" s="13"/>
      <c r="L24" s="6" t="s">
        <v>80</v>
      </c>
      <c r="M24" s="18">
        <f>M18+M22</f>
        <v>1055.0411643711925</v>
      </c>
      <c r="N24" s="18"/>
    </row>
    <row r="25" spans="2:14" x14ac:dyDescent="0.25">
      <c r="B25" s="13" t="s">
        <v>81</v>
      </c>
      <c r="C25" s="13"/>
      <c r="D25" s="13"/>
      <c r="E25" s="6" t="s">
        <v>82</v>
      </c>
      <c r="F25" s="18">
        <f>(F20-F21)/(F22/SQRT(F23))</f>
        <v>-0.8333333333333334</v>
      </c>
      <c r="G25" s="18"/>
      <c r="I25" s="19"/>
      <c r="J25" s="19"/>
      <c r="K25" s="19"/>
      <c r="L25" s="19"/>
      <c r="M25" s="19"/>
      <c r="N25" s="19"/>
    </row>
    <row r="26" spans="2:14" x14ac:dyDescent="0.25">
      <c r="B26" s="13" t="s">
        <v>83</v>
      </c>
      <c r="C26" s="13"/>
      <c r="D26" s="13"/>
      <c r="E26" s="6" t="s">
        <v>84</v>
      </c>
      <c r="F26" s="18">
        <f>_xlfn.NORM.S.INV(F19)</f>
        <v>-2.326347874388028</v>
      </c>
      <c r="G26" s="18"/>
      <c r="I26" s="20" t="s">
        <v>85</v>
      </c>
      <c r="J26" s="20"/>
      <c r="K26" s="20"/>
      <c r="L26" s="7" t="s">
        <v>96</v>
      </c>
      <c r="M26" s="7"/>
      <c r="N26" s="7"/>
    </row>
    <row r="27" spans="2:14" x14ac:dyDescent="0.25">
      <c r="B27" s="13" t="s">
        <v>87</v>
      </c>
      <c r="C27" s="13"/>
      <c r="D27" s="13"/>
      <c r="E27" s="6" t="s">
        <v>88</v>
      </c>
      <c r="F27" s="18">
        <f>_xlfn.NORM.S.DIST(F25,1)</f>
        <v>0.20232832942163131</v>
      </c>
      <c r="G27" s="18"/>
      <c r="I27" s="19"/>
      <c r="J27" s="19"/>
      <c r="K27" s="19"/>
      <c r="L27" s="7"/>
      <c r="M27" s="7"/>
      <c r="N27" s="7"/>
    </row>
    <row r="28" spans="2:14" x14ac:dyDescent="0.25">
      <c r="B28" s="20" t="s">
        <v>5</v>
      </c>
      <c r="C28" s="20"/>
      <c r="D28" s="20"/>
      <c r="E28" s="7" t="s">
        <v>13</v>
      </c>
      <c r="F28" s="7"/>
      <c r="G28" s="7"/>
      <c r="I28" s="19"/>
      <c r="J28" s="19"/>
      <c r="K28" s="19"/>
      <c r="L28" s="7"/>
      <c r="M28" s="7"/>
      <c r="N28" s="7"/>
    </row>
    <row r="29" spans="2:7" x14ac:dyDescent="0.25">
      <c r="B29" s="19"/>
      <c r="C29" s="19"/>
      <c r="D29" s="19"/>
      <c r="E29" s="19"/>
      <c r="F29" s="19"/>
      <c r="G29" s="19"/>
    </row>
    <row r="30" spans="2:7" x14ac:dyDescent="0.25">
      <c r="B30" s="20" t="s">
        <v>85</v>
      </c>
      <c r="C30" s="20"/>
      <c r="D30" s="20"/>
      <c r="E30" s="7" t="s">
        <v>97</v>
      </c>
      <c r="F30" s="7"/>
      <c r="G30" s="7"/>
    </row>
    <row r="31" spans="2:7" x14ac:dyDescent="0.25">
      <c r="B31" s="19"/>
      <c r="C31" s="19"/>
      <c r="D31" s="19"/>
      <c r="E31" s="7"/>
      <c r="F31" s="7"/>
      <c r="G31" s="7"/>
    </row>
    <row r="32" spans="2:7" x14ac:dyDescent="0.25">
      <c r="B32" s="19"/>
      <c r="C32" s="19"/>
      <c r="D32" s="19"/>
      <c r="E32" s="7"/>
      <c r="F32" s="7"/>
      <c r="G32" s="7"/>
    </row>
  </sheetData>
  <mergeCells count="52">
    <mergeCell ref="B2:N2"/>
    <mergeCell ref="B4:N7"/>
    <mergeCell ref="C9:N10"/>
    <mergeCell ref="C11:N12"/>
    <mergeCell ref="B15:G15"/>
    <mergeCell ref="I15:N15"/>
    <mergeCell ref="B16:D16"/>
    <mergeCell ref="F16:G16"/>
    <mergeCell ref="I16:K16"/>
    <mergeCell ref="M16:N16"/>
    <mergeCell ref="B17:D17"/>
    <mergeCell ref="F17:G17"/>
    <mergeCell ref="I17:K17"/>
    <mergeCell ref="M17:N17"/>
    <mergeCell ref="B18:D18"/>
    <mergeCell ref="F18:G18"/>
    <mergeCell ref="I18:K18"/>
    <mergeCell ref="M18:N18"/>
    <mergeCell ref="B19:D19"/>
    <mergeCell ref="F19:G19"/>
    <mergeCell ref="I19:K19"/>
    <mergeCell ref="M19:N19"/>
    <mergeCell ref="B20:D20"/>
    <mergeCell ref="F20:G20"/>
    <mergeCell ref="I20:K20"/>
    <mergeCell ref="M20:N20"/>
    <mergeCell ref="B21:D21"/>
    <mergeCell ref="F21:G21"/>
    <mergeCell ref="I21:K21"/>
    <mergeCell ref="M21:N21"/>
    <mergeCell ref="B22:D22"/>
    <mergeCell ref="F22:G22"/>
    <mergeCell ref="I22:K22"/>
    <mergeCell ref="M22:N22"/>
    <mergeCell ref="B23:D23"/>
    <mergeCell ref="F23:G23"/>
    <mergeCell ref="I23:K23"/>
    <mergeCell ref="M23:N23"/>
    <mergeCell ref="I24:K24"/>
    <mergeCell ref="M24:N24"/>
    <mergeCell ref="B25:D25"/>
    <mergeCell ref="F25:G25"/>
    <mergeCell ref="B26:D26"/>
    <mergeCell ref="F26:G26"/>
    <mergeCell ref="I26:K26"/>
    <mergeCell ref="L26:N28"/>
    <mergeCell ref="B27:D27"/>
    <mergeCell ref="F27:G27"/>
    <mergeCell ref="B28:D28"/>
    <mergeCell ref="E28:G28"/>
    <mergeCell ref="B30:D30"/>
    <mergeCell ref="E30:G32"/>
  </mergeCells>
  <pageMargins left="0.25" right="0.25" top="0.4" bottom="0.4" header="0.2" footer="0.2"/>
  <pageSetup orientation="landscape"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2"/>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9" t="s">
        <v>15</v>
      </c>
      <c r="C2" s="9"/>
      <c r="D2" s="9"/>
      <c r="E2" s="9"/>
      <c r="F2" s="9"/>
      <c r="G2" s="9"/>
      <c r="H2" s="9"/>
      <c r="I2" s="9"/>
      <c r="J2" s="9"/>
      <c r="K2" s="9"/>
      <c r="L2" s="9"/>
      <c r="M2" s="9"/>
      <c r="N2" s="9"/>
    </row>
    <row r="4" ht="28" customHeight="1" spans="2:14" x14ac:dyDescent="0.25">
      <c r="B4" s="10" t="s">
        <v>98</v>
      </c>
      <c r="C4" s="10"/>
      <c r="D4" s="10"/>
      <c r="E4" s="10"/>
      <c r="F4" s="10"/>
      <c r="G4" s="10"/>
      <c r="H4" s="10"/>
      <c r="I4" s="10"/>
      <c r="J4" s="10"/>
      <c r="K4" s="10"/>
      <c r="L4" s="10"/>
      <c r="M4" s="10"/>
      <c r="N4" s="10"/>
    </row>
    <row r="5" ht="28" customHeight="1" spans="2:14" x14ac:dyDescent="0.25">
      <c r="B5" s="10"/>
      <c r="C5" s="10"/>
      <c r="D5" s="10"/>
      <c r="E5" s="10"/>
      <c r="F5" s="10"/>
      <c r="G5" s="10"/>
      <c r="H5" s="10"/>
      <c r="I5" s="10"/>
      <c r="J5" s="10"/>
      <c r="K5" s="10"/>
      <c r="L5" s="10"/>
      <c r="M5" s="10"/>
      <c r="N5" s="10"/>
    </row>
    <row r="6" ht="28" customHeight="1" spans="2:14" x14ac:dyDescent="0.25">
      <c r="B6" s="10"/>
      <c r="C6" s="10"/>
      <c r="D6" s="10"/>
      <c r="E6" s="10"/>
      <c r="F6" s="10"/>
      <c r="G6" s="10"/>
      <c r="H6" s="10"/>
      <c r="I6" s="10"/>
      <c r="J6" s="10"/>
      <c r="K6" s="10"/>
      <c r="L6" s="10"/>
      <c r="M6" s="10"/>
      <c r="N6" s="10"/>
    </row>
    <row r="7" ht="28" customHeight="1" spans="2:14" x14ac:dyDescent="0.25">
      <c r="B7" s="10"/>
      <c r="C7" s="10"/>
      <c r="D7" s="10"/>
      <c r="E7" s="10"/>
      <c r="F7" s="10"/>
      <c r="G7" s="10"/>
      <c r="H7" s="10"/>
      <c r="I7" s="10"/>
      <c r="J7" s="10"/>
      <c r="K7" s="10"/>
      <c r="L7" s="10"/>
      <c r="M7" s="10"/>
      <c r="N7" s="10"/>
    </row>
    <row r="9" spans="2:14" x14ac:dyDescent="0.25">
      <c r="B9" s="11" t="s">
        <v>46</v>
      </c>
      <c r="C9" s="12" t="s">
        <v>99</v>
      </c>
      <c r="D9" s="12"/>
      <c r="E9" s="12"/>
      <c r="F9" s="12"/>
      <c r="G9" s="12"/>
      <c r="H9" s="12"/>
      <c r="I9" s="12"/>
      <c r="J9" s="12"/>
      <c r="K9" s="12"/>
      <c r="L9" s="12"/>
      <c r="M9" s="12"/>
      <c r="N9" s="12"/>
    </row>
    <row r="10" spans="3:14" x14ac:dyDescent="0.25">
      <c r="C10" s="12"/>
      <c r="D10" s="12"/>
      <c r="E10" s="12"/>
      <c r="F10" s="12"/>
      <c r="G10" s="12"/>
      <c r="H10" s="12"/>
      <c r="I10" s="12"/>
      <c r="J10" s="12"/>
      <c r="K10" s="12"/>
      <c r="L10" s="12"/>
      <c r="M10" s="12"/>
      <c r="N10" s="12"/>
    </row>
    <row r="11" spans="2:14" x14ac:dyDescent="0.25">
      <c r="B11" s="11" t="s">
        <v>48</v>
      </c>
      <c r="C11" s="12" t="s">
        <v>100</v>
      </c>
      <c r="D11" s="12"/>
      <c r="E11" s="12"/>
      <c r="F11" s="12"/>
      <c r="G11" s="12"/>
      <c r="H11" s="12"/>
      <c r="I11" s="12"/>
      <c r="J11" s="12"/>
      <c r="K11" s="12"/>
      <c r="L11" s="12"/>
      <c r="M11" s="12"/>
      <c r="N11" s="12"/>
    </row>
    <row r="12" spans="3:14" x14ac:dyDescent="0.25">
      <c r="C12" s="12"/>
      <c r="D12" s="12"/>
      <c r="E12" s="12"/>
      <c r="F12" s="12"/>
      <c r="G12" s="12"/>
      <c r="H12" s="12"/>
      <c r="I12" s="12"/>
      <c r="J12" s="12"/>
      <c r="K12" s="12"/>
      <c r="L12" s="12"/>
      <c r="M12" s="12"/>
      <c r="N12" s="12"/>
    </row>
    <row r="15" spans="2:14" x14ac:dyDescent="0.25">
      <c r="B15" s="4" t="s">
        <v>50</v>
      </c>
      <c r="C15" s="4"/>
      <c r="D15" s="4"/>
      <c r="E15" s="4"/>
      <c r="F15" s="4"/>
      <c r="G15" s="4"/>
      <c r="I15" s="4" t="s">
        <v>51</v>
      </c>
      <c r="J15" s="4"/>
      <c r="K15" s="4"/>
      <c r="L15" s="4"/>
      <c r="M15" s="4"/>
      <c r="N15" s="4"/>
    </row>
    <row r="16" spans="2:14" x14ac:dyDescent="0.25">
      <c r="B16" s="3" t="s">
        <v>52</v>
      </c>
      <c r="C16" s="3"/>
      <c r="D16" s="3"/>
      <c r="E16" s="3" t="s">
        <v>53</v>
      </c>
      <c r="F16" s="3" t="s">
        <v>54</v>
      </c>
      <c r="G16" s="3"/>
      <c r="I16" s="3" t="s">
        <v>52</v>
      </c>
      <c r="J16" s="3"/>
      <c r="K16" s="3"/>
      <c r="L16" s="3" t="s">
        <v>53</v>
      </c>
      <c r="M16" s="3" t="s">
        <v>54</v>
      </c>
      <c r="N16" s="3"/>
    </row>
    <row r="17" spans="2:14" x14ac:dyDescent="0.25">
      <c r="B17" s="13" t="s">
        <v>55</v>
      </c>
      <c r="C17" s="13"/>
      <c r="D17" s="13"/>
      <c r="E17" s="6" t="s">
        <v>56</v>
      </c>
      <c r="F17" s="14" t="s">
        <v>101</v>
      </c>
      <c r="G17" s="14"/>
      <c r="I17" s="13" t="s">
        <v>58</v>
      </c>
      <c r="J17" s="13"/>
      <c r="K17" s="13"/>
      <c r="L17" s="6" t="s">
        <v>59</v>
      </c>
      <c r="M17" s="15">
        <v>0.9</v>
      </c>
      <c r="N17" s="15"/>
    </row>
    <row r="18" spans="2:14" x14ac:dyDescent="0.25">
      <c r="B18" s="13" t="s">
        <v>60</v>
      </c>
      <c r="C18" s="13"/>
      <c r="D18" s="13"/>
      <c r="E18" s="6" t="s">
        <v>61</v>
      </c>
      <c r="F18" s="14" t="s">
        <v>102</v>
      </c>
      <c r="G18" s="14"/>
      <c r="I18" s="13" t="s">
        <v>63</v>
      </c>
      <c r="J18" s="13"/>
      <c r="K18" s="13"/>
      <c r="L18" s="6" t="s">
        <v>64</v>
      </c>
      <c r="M18" s="16">
        <v>257.3</v>
      </c>
      <c r="N18" s="16"/>
    </row>
    <row r="19" spans="2:14" x14ac:dyDescent="0.25">
      <c r="B19" s="13" t="s">
        <v>65</v>
      </c>
      <c r="C19" s="13"/>
      <c r="D19" s="13"/>
      <c r="E19" s="6" t="s">
        <v>66</v>
      </c>
      <c r="F19" s="16">
        <v>0.05</v>
      </c>
      <c r="G19" s="16"/>
      <c r="I19" s="13" t="s">
        <v>67</v>
      </c>
      <c r="J19" s="13"/>
      <c r="K19" s="13"/>
      <c r="L19" s="6" t="s">
        <v>95</v>
      </c>
      <c r="M19" s="16">
        <v>15</v>
      </c>
      <c r="N19" s="16"/>
    </row>
    <row r="20" spans="2:14" x14ac:dyDescent="0.25">
      <c r="B20" s="13" t="s">
        <v>63</v>
      </c>
      <c r="C20" s="13"/>
      <c r="D20" s="13"/>
      <c r="E20" s="6" t="s">
        <v>64</v>
      </c>
      <c r="F20" s="16">
        <v>257.3</v>
      </c>
      <c r="G20" s="16"/>
      <c r="I20" s="13" t="s">
        <v>69</v>
      </c>
      <c r="J20" s="13"/>
      <c r="K20" s="13"/>
      <c r="L20" s="6" t="s">
        <v>70</v>
      </c>
      <c r="M20" s="17">
        <v>20</v>
      </c>
      <c r="N20" s="17"/>
    </row>
    <row r="21" spans="2:14" x14ac:dyDescent="0.25">
      <c r="B21" s="13" t="s">
        <v>71</v>
      </c>
      <c r="C21" s="13"/>
      <c r="D21" s="13"/>
      <c r="E21" s="6" t="s">
        <v>72</v>
      </c>
      <c r="F21" s="16">
        <v>250</v>
      </c>
      <c r="G21" s="16"/>
      <c r="I21" s="13" t="s">
        <v>73</v>
      </c>
      <c r="J21" s="13"/>
      <c r="K21" s="13"/>
      <c r="L21" s="6" t="s">
        <v>74</v>
      </c>
      <c r="M21" s="18">
        <f>_xlfn.NORM.S.INV((1+M17)/2)</f>
        <v>1.644853625133699</v>
      </c>
      <c r="N21" s="18"/>
    </row>
    <row r="22" spans="2:14" x14ac:dyDescent="0.25">
      <c r="B22" s="13" t="s">
        <v>67</v>
      </c>
      <c r="C22" s="13"/>
      <c r="D22" s="13"/>
      <c r="E22" s="6" t="s">
        <v>95</v>
      </c>
      <c r="F22" s="16">
        <v>15</v>
      </c>
      <c r="G22" s="16"/>
      <c r="I22" s="13" t="s">
        <v>75</v>
      </c>
      <c r="J22" s="13"/>
      <c r="K22" s="13"/>
      <c r="L22" s="6" t="s">
        <v>76</v>
      </c>
      <c r="M22" s="18">
        <f>M21*M19/SQRT(M20)</f>
        <v>5.517006778253861</v>
      </c>
      <c r="N22" s="18"/>
    </row>
    <row r="23" spans="2:14" x14ac:dyDescent="0.25">
      <c r="B23" s="13" t="s">
        <v>69</v>
      </c>
      <c r="C23" s="13"/>
      <c r="D23" s="13"/>
      <c r="E23" s="6" t="s">
        <v>70</v>
      </c>
      <c r="F23" s="17">
        <v>20</v>
      </c>
      <c r="G23" s="17"/>
      <c r="I23" s="13" t="s">
        <v>77</v>
      </c>
      <c r="J23" s="13"/>
      <c r="K23" s="13"/>
      <c r="L23" s="6" t="s">
        <v>78</v>
      </c>
      <c r="M23" s="18">
        <f>M18-M22</f>
        <v>251.78299322174615</v>
      </c>
      <c r="N23" s="18"/>
    </row>
    <row r="24" spans="2:14" x14ac:dyDescent="0.25">
      <c r="B24" s="19"/>
      <c r="C24" s="19"/>
      <c r="D24" s="19"/>
      <c r="E24" s="19"/>
      <c r="F24" s="19"/>
      <c r="G24" s="19"/>
      <c r="I24" s="13" t="s">
        <v>79</v>
      </c>
      <c r="J24" s="13"/>
      <c r="K24" s="13"/>
      <c r="L24" s="6" t="s">
        <v>80</v>
      </c>
      <c r="M24" s="18">
        <f>M18+M22</f>
        <v>262.81700677825387</v>
      </c>
      <c r="N24" s="18"/>
    </row>
    <row r="25" spans="2:14" x14ac:dyDescent="0.25">
      <c r="B25" s="13" t="s">
        <v>81</v>
      </c>
      <c r="C25" s="13"/>
      <c r="D25" s="13"/>
      <c r="E25" s="6" t="s">
        <v>82</v>
      </c>
      <c r="F25" s="18">
        <f>(F20-F21)/(F22/SQRT(F23))</f>
        <v>2.176439498099799</v>
      </c>
      <c r="G25" s="18"/>
      <c r="I25" s="19"/>
      <c r="J25" s="19"/>
      <c r="K25" s="19"/>
      <c r="L25" s="19"/>
      <c r="M25" s="19"/>
      <c r="N25" s="19"/>
    </row>
    <row r="26" spans="2:14" x14ac:dyDescent="0.25">
      <c r="B26" s="13" t="s">
        <v>83</v>
      </c>
      <c r="C26" s="13"/>
      <c r="D26" s="13"/>
      <c r="E26" s="6" t="s">
        <v>84</v>
      </c>
      <c r="F26" s="18">
        <f>_xlfn.NORM.S.INV(1-F19)</f>
        <v>1.644853625133699</v>
      </c>
      <c r="G26" s="18"/>
      <c r="I26" s="20" t="s">
        <v>85</v>
      </c>
      <c r="J26" s="20"/>
      <c r="K26" s="20"/>
      <c r="L26" s="7" t="s">
        <v>103</v>
      </c>
      <c r="M26" s="7"/>
      <c r="N26" s="7"/>
    </row>
    <row r="27" spans="2:14" x14ac:dyDescent="0.25">
      <c r="B27" s="13" t="s">
        <v>87</v>
      </c>
      <c r="C27" s="13"/>
      <c r="D27" s="13"/>
      <c r="E27" s="6" t="s">
        <v>88</v>
      </c>
      <c r="F27" s="18">
        <f>1-_xlfn.NORM.S.DIST(F25,1)</f>
        <v>0.014761154500756435</v>
      </c>
      <c r="G27" s="18"/>
      <c r="I27" s="19"/>
      <c r="J27" s="19"/>
      <c r="K27" s="19"/>
      <c r="L27" s="7"/>
      <c r="M27" s="7"/>
      <c r="N27" s="7"/>
    </row>
    <row r="28" spans="2:14" x14ac:dyDescent="0.25">
      <c r="B28" s="20" t="s">
        <v>5</v>
      </c>
      <c r="C28" s="20"/>
      <c r="D28" s="20"/>
      <c r="E28" s="7" t="s">
        <v>9</v>
      </c>
      <c r="F28" s="7"/>
      <c r="G28" s="7"/>
      <c r="I28" s="19"/>
      <c r="J28" s="19"/>
      <c r="K28" s="19"/>
      <c r="L28" s="7"/>
      <c r="M28" s="7"/>
      <c r="N28" s="7"/>
    </row>
    <row r="29" spans="2:7" x14ac:dyDescent="0.25">
      <c r="B29" s="19"/>
      <c r="C29" s="19"/>
      <c r="D29" s="19"/>
      <c r="E29" s="19"/>
      <c r="F29" s="19"/>
      <c r="G29" s="19"/>
    </row>
    <row r="30" spans="2:7" x14ac:dyDescent="0.25">
      <c r="B30" s="20" t="s">
        <v>85</v>
      </c>
      <c r="C30" s="20"/>
      <c r="D30" s="20"/>
      <c r="E30" s="7" t="s">
        <v>104</v>
      </c>
      <c r="F30" s="7"/>
      <c r="G30" s="7"/>
    </row>
    <row r="31" spans="2:7" x14ac:dyDescent="0.25">
      <c r="B31" s="19"/>
      <c r="C31" s="19"/>
      <c r="D31" s="19"/>
      <c r="E31" s="7"/>
      <c r="F31" s="7"/>
      <c r="G31" s="7"/>
    </row>
    <row r="32" spans="2:7" x14ac:dyDescent="0.25">
      <c r="B32" s="19"/>
      <c r="C32" s="19"/>
      <c r="D32" s="19"/>
      <c r="E32" s="7"/>
      <c r="F32" s="7"/>
      <c r="G32" s="7"/>
    </row>
  </sheetData>
  <mergeCells count="52">
    <mergeCell ref="B2:N2"/>
    <mergeCell ref="B4:N7"/>
    <mergeCell ref="C9:N10"/>
    <mergeCell ref="C11:N12"/>
    <mergeCell ref="B15:G15"/>
    <mergeCell ref="I15:N15"/>
    <mergeCell ref="B16:D16"/>
    <mergeCell ref="F16:G16"/>
    <mergeCell ref="I16:K16"/>
    <mergeCell ref="M16:N16"/>
    <mergeCell ref="B17:D17"/>
    <mergeCell ref="F17:G17"/>
    <mergeCell ref="I17:K17"/>
    <mergeCell ref="M17:N17"/>
    <mergeCell ref="B18:D18"/>
    <mergeCell ref="F18:G18"/>
    <mergeCell ref="I18:K18"/>
    <mergeCell ref="M18:N18"/>
    <mergeCell ref="B19:D19"/>
    <mergeCell ref="F19:G19"/>
    <mergeCell ref="I19:K19"/>
    <mergeCell ref="M19:N19"/>
    <mergeCell ref="B20:D20"/>
    <mergeCell ref="F20:G20"/>
    <mergeCell ref="I20:K20"/>
    <mergeCell ref="M20:N20"/>
    <mergeCell ref="B21:D21"/>
    <mergeCell ref="F21:G21"/>
    <mergeCell ref="I21:K21"/>
    <mergeCell ref="M21:N21"/>
    <mergeCell ref="B22:D22"/>
    <mergeCell ref="F22:G22"/>
    <mergeCell ref="I22:K22"/>
    <mergeCell ref="M22:N22"/>
    <mergeCell ref="B23:D23"/>
    <mergeCell ref="F23:G23"/>
    <mergeCell ref="I23:K23"/>
    <mergeCell ref="M23:N23"/>
    <mergeCell ref="I24:K24"/>
    <mergeCell ref="M24:N24"/>
    <mergeCell ref="B25:D25"/>
    <mergeCell ref="F25:G25"/>
    <mergeCell ref="B26:D26"/>
    <mergeCell ref="F26:G26"/>
    <mergeCell ref="I26:K26"/>
    <mergeCell ref="L26:N28"/>
    <mergeCell ref="B27:D27"/>
    <mergeCell ref="F27:G27"/>
    <mergeCell ref="B28:D28"/>
    <mergeCell ref="E28:G28"/>
    <mergeCell ref="B30:D30"/>
    <mergeCell ref="E30:G32"/>
  </mergeCells>
  <pageMargins left="0.25" right="0.25" top="0.4" bottom="0.4" header="0.2" footer="0.2"/>
  <pageSetup orientation="landscape"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3"/>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9" t="s">
        <v>18</v>
      </c>
      <c r="C2" s="9"/>
      <c r="D2" s="9"/>
      <c r="E2" s="9"/>
      <c r="F2" s="9"/>
      <c r="G2" s="9"/>
      <c r="H2" s="9"/>
      <c r="I2" s="9"/>
      <c r="J2" s="9"/>
      <c r="K2" s="9"/>
      <c r="L2" s="9"/>
      <c r="M2" s="9"/>
      <c r="N2" s="9"/>
    </row>
    <row r="4" ht="28" customHeight="1" spans="2:14" x14ac:dyDescent="0.25">
      <c r="B4" s="10" t="s">
        <v>105</v>
      </c>
      <c r="C4" s="10"/>
      <c r="D4" s="10"/>
      <c r="E4" s="10"/>
      <c r="F4" s="10"/>
      <c r="G4" s="10"/>
      <c r="H4" s="10"/>
      <c r="I4" s="10"/>
      <c r="J4" s="10"/>
      <c r="K4" s="10"/>
      <c r="L4" s="10"/>
      <c r="M4" s="10"/>
      <c r="N4" s="10"/>
    </row>
    <row r="5" ht="28" customHeight="1" spans="2:14" x14ac:dyDescent="0.25">
      <c r="B5" s="10"/>
      <c r="C5" s="10"/>
      <c r="D5" s="10"/>
      <c r="E5" s="10"/>
      <c r="F5" s="10"/>
      <c r="G5" s="10"/>
      <c r="H5" s="10"/>
      <c r="I5" s="10"/>
      <c r="J5" s="10"/>
      <c r="K5" s="10"/>
      <c r="L5" s="10"/>
      <c r="M5" s="10"/>
      <c r="N5" s="10"/>
    </row>
    <row r="6" ht="28" customHeight="1" spans="2:14" x14ac:dyDescent="0.25">
      <c r="B6" s="10"/>
      <c r="C6" s="10"/>
      <c r="D6" s="10"/>
      <c r="E6" s="10"/>
      <c r="F6" s="10"/>
      <c r="G6" s="10"/>
      <c r="H6" s="10"/>
      <c r="I6" s="10"/>
      <c r="J6" s="10"/>
      <c r="K6" s="10"/>
      <c r="L6" s="10"/>
      <c r="M6" s="10"/>
      <c r="N6" s="10"/>
    </row>
    <row r="7" ht="28" customHeight="1" spans="2:14" x14ac:dyDescent="0.25">
      <c r="B7" s="10"/>
      <c r="C7" s="10"/>
      <c r="D7" s="10"/>
      <c r="E7" s="10"/>
      <c r="F7" s="10"/>
      <c r="G7" s="10"/>
      <c r="H7" s="10"/>
      <c r="I7" s="10"/>
      <c r="J7" s="10"/>
      <c r="K7" s="10"/>
      <c r="L7" s="10"/>
      <c r="M7" s="10"/>
      <c r="N7" s="10"/>
    </row>
    <row r="9" spans="2:14" x14ac:dyDescent="0.25">
      <c r="B9" s="11" t="s">
        <v>46</v>
      </c>
      <c r="C9" s="12" t="s">
        <v>106</v>
      </c>
      <c r="D9" s="12"/>
      <c r="E9" s="12"/>
      <c r="F9" s="12"/>
      <c r="G9" s="12"/>
      <c r="H9" s="12"/>
      <c r="I9" s="12"/>
      <c r="J9" s="12"/>
      <c r="K9" s="12"/>
      <c r="L9" s="12"/>
      <c r="M9" s="12"/>
      <c r="N9" s="12"/>
    </row>
    <row r="10" spans="3:14" x14ac:dyDescent="0.25">
      <c r="C10" s="12"/>
      <c r="D10" s="12"/>
      <c r="E10" s="12"/>
      <c r="F10" s="12"/>
      <c r="G10" s="12"/>
      <c r="H10" s="12"/>
      <c r="I10" s="12"/>
      <c r="J10" s="12"/>
      <c r="K10" s="12"/>
      <c r="L10" s="12"/>
      <c r="M10" s="12"/>
      <c r="N10" s="12"/>
    </row>
    <row r="11" spans="2:14" x14ac:dyDescent="0.25">
      <c r="B11" s="11" t="s">
        <v>48</v>
      </c>
      <c r="C11" s="12" t="s">
        <v>107</v>
      </c>
      <c r="D11" s="12"/>
      <c r="E11" s="12"/>
      <c r="F11" s="12"/>
      <c r="G11" s="12"/>
      <c r="H11" s="12"/>
      <c r="I11" s="12"/>
      <c r="J11" s="12"/>
      <c r="K11" s="12"/>
      <c r="L11" s="12"/>
      <c r="M11" s="12"/>
      <c r="N11" s="12"/>
    </row>
    <row r="12" spans="3:14" x14ac:dyDescent="0.25">
      <c r="C12" s="12"/>
      <c r="D12" s="12"/>
      <c r="E12" s="12"/>
      <c r="F12" s="12"/>
      <c r="G12" s="12"/>
      <c r="H12" s="12"/>
      <c r="I12" s="12"/>
      <c r="J12" s="12"/>
      <c r="K12" s="12"/>
      <c r="L12" s="12"/>
      <c r="M12" s="12"/>
      <c r="N12" s="12"/>
    </row>
    <row r="15" spans="2:14" x14ac:dyDescent="0.25">
      <c r="B15" s="4" t="s">
        <v>50</v>
      </c>
      <c r="C15" s="4"/>
      <c r="D15" s="4"/>
      <c r="E15" s="4"/>
      <c r="F15" s="4"/>
      <c r="G15" s="4"/>
      <c r="I15" s="4" t="s">
        <v>51</v>
      </c>
      <c r="J15" s="4"/>
      <c r="K15" s="4"/>
      <c r="L15" s="4"/>
      <c r="M15" s="4"/>
      <c r="N15" s="4"/>
    </row>
    <row r="16" spans="2:14" x14ac:dyDescent="0.25">
      <c r="B16" s="3" t="s">
        <v>52</v>
      </c>
      <c r="C16" s="3"/>
      <c r="D16" s="3"/>
      <c r="E16" s="3" t="s">
        <v>53</v>
      </c>
      <c r="F16" s="3" t="s">
        <v>54</v>
      </c>
      <c r="G16" s="3"/>
      <c r="I16" s="3" t="s">
        <v>52</v>
      </c>
      <c r="J16" s="3"/>
      <c r="K16" s="3"/>
      <c r="L16" s="3" t="s">
        <v>53</v>
      </c>
      <c r="M16" s="3" t="s">
        <v>54</v>
      </c>
      <c r="N16" s="3"/>
    </row>
    <row r="17" spans="2:14" x14ac:dyDescent="0.25">
      <c r="B17" s="13" t="s">
        <v>55</v>
      </c>
      <c r="C17" s="13"/>
      <c r="D17" s="13"/>
      <c r="E17" s="6" t="s">
        <v>56</v>
      </c>
      <c r="F17" s="14" t="s">
        <v>108</v>
      </c>
      <c r="G17" s="14"/>
      <c r="I17" s="13" t="s">
        <v>58</v>
      </c>
      <c r="J17" s="13"/>
      <c r="K17" s="13"/>
      <c r="L17" s="6" t="s">
        <v>59</v>
      </c>
      <c r="M17" s="15">
        <v>0.97</v>
      </c>
      <c r="N17" s="15"/>
    </row>
    <row r="18" spans="2:14" x14ac:dyDescent="0.25">
      <c r="B18" s="13" t="s">
        <v>60</v>
      </c>
      <c r="C18" s="13"/>
      <c r="D18" s="13"/>
      <c r="E18" s="6" t="s">
        <v>61</v>
      </c>
      <c r="F18" s="14" t="s">
        <v>109</v>
      </c>
      <c r="G18" s="14"/>
      <c r="I18" s="13" t="s">
        <v>63</v>
      </c>
      <c r="J18" s="13"/>
      <c r="K18" s="13"/>
      <c r="L18" s="6" t="s">
        <v>64</v>
      </c>
      <c r="M18" s="16">
        <v>62.1</v>
      </c>
      <c r="N18" s="16"/>
    </row>
    <row r="19" spans="2:14" x14ac:dyDescent="0.25">
      <c r="B19" s="13" t="s">
        <v>65</v>
      </c>
      <c r="C19" s="13"/>
      <c r="D19" s="13"/>
      <c r="E19" s="6" t="s">
        <v>66</v>
      </c>
      <c r="F19" s="16">
        <v>0.01</v>
      </c>
      <c r="G19" s="16"/>
      <c r="I19" s="13" t="s">
        <v>67</v>
      </c>
      <c r="J19" s="13"/>
      <c r="K19" s="13"/>
      <c r="L19" s="6" t="s">
        <v>68</v>
      </c>
      <c r="M19" s="16">
        <v>5.83</v>
      </c>
      <c r="N19" s="16"/>
    </row>
    <row r="20" spans="2:14" x14ac:dyDescent="0.25">
      <c r="B20" s="13" t="s">
        <v>63</v>
      </c>
      <c r="C20" s="13"/>
      <c r="D20" s="13"/>
      <c r="E20" s="6" t="s">
        <v>64</v>
      </c>
      <c r="F20" s="16">
        <v>62.1</v>
      </c>
      <c r="G20" s="16"/>
      <c r="I20" s="13" t="s">
        <v>69</v>
      </c>
      <c r="J20" s="13"/>
      <c r="K20" s="13"/>
      <c r="L20" s="6" t="s">
        <v>70</v>
      </c>
      <c r="M20" s="17">
        <v>28</v>
      </c>
      <c r="N20" s="17"/>
    </row>
    <row r="21" spans="2:14" x14ac:dyDescent="0.25">
      <c r="B21" s="13" t="s">
        <v>71</v>
      </c>
      <c r="C21" s="13"/>
      <c r="D21" s="13"/>
      <c r="E21" s="6" t="s">
        <v>72</v>
      </c>
      <c r="F21" s="16">
        <v>65</v>
      </c>
      <c r="G21" s="16"/>
      <c r="I21" s="13" t="s">
        <v>110</v>
      </c>
      <c r="J21" s="13"/>
      <c r="K21" s="13"/>
      <c r="L21" s="6" t="s">
        <v>111</v>
      </c>
      <c r="M21" s="17">
        <v>27</v>
      </c>
      <c r="N21" s="17"/>
    </row>
    <row r="22" spans="2:14" x14ac:dyDescent="0.25">
      <c r="B22" s="13" t="s">
        <v>67</v>
      </c>
      <c r="C22" s="13"/>
      <c r="D22" s="13"/>
      <c r="E22" s="6" t="s">
        <v>68</v>
      </c>
      <c r="F22" s="16">
        <v>5.83</v>
      </c>
      <c r="G22" s="16"/>
      <c r="I22" s="13" t="s">
        <v>112</v>
      </c>
      <c r="J22" s="13"/>
      <c r="K22" s="13"/>
      <c r="L22" s="6" t="s">
        <v>113</v>
      </c>
      <c r="M22" s="18">
        <f>TINV(1-M17,27)</f>
        <v>2.2909136080847716</v>
      </c>
      <c r="N22" s="18"/>
    </row>
    <row r="23" spans="2:14" x14ac:dyDescent="0.25">
      <c r="B23" s="13" t="s">
        <v>69</v>
      </c>
      <c r="C23" s="13"/>
      <c r="D23" s="13"/>
      <c r="E23" s="6" t="s">
        <v>70</v>
      </c>
      <c r="F23" s="17">
        <v>28</v>
      </c>
      <c r="G23" s="17"/>
      <c r="I23" s="13" t="s">
        <v>75</v>
      </c>
      <c r="J23" s="13"/>
      <c r="K23" s="13"/>
      <c r="L23" s="6" t="s">
        <v>76</v>
      </c>
      <c r="M23" s="18">
        <f>M22*M19/SQRT(M20)</f>
        <v>2.5240517276281826</v>
      </c>
      <c r="N23" s="18"/>
    </row>
    <row r="24" spans="2:14" x14ac:dyDescent="0.25">
      <c r="B24" s="13" t="s">
        <v>110</v>
      </c>
      <c r="C24" s="13"/>
      <c r="D24" s="13"/>
      <c r="E24" s="6" t="s">
        <v>111</v>
      </c>
      <c r="F24" s="17">
        <v>27</v>
      </c>
      <c r="G24" s="17"/>
      <c r="I24" s="13" t="s">
        <v>77</v>
      </c>
      <c r="J24" s="13"/>
      <c r="K24" s="13"/>
      <c r="L24" s="6" t="s">
        <v>78</v>
      </c>
      <c r="M24" s="18">
        <f>M18-M23</f>
        <v>59.57594827237182</v>
      </c>
      <c r="N24" s="18"/>
    </row>
    <row r="25" spans="2:14" x14ac:dyDescent="0.25">
      <c r="B25" s="19"/>
      <c r="C25" s="19"/>
      <c r="D25" s="19"/>
      <c r="E25" s="19"/>
      <c r="F25" s="19"/>
      <c r="G25" s="19"/>
      <c r="I25" s="13" t="s">
        <v>79</v>
      </c>
      <c r="J25" s="13"/>
      <c r="K25" s="13"/>
      <c r="L25" s="6" t="s">
        <v>80</v>
      </c>
      <c r="M25" s="18">
        <f>M18+M23</f>
        <v>64.62405172762818</v>
      </c>
      <c r="N25" s="18"/>
    </row>
    <row r="26" spans="2:14" x14ac:dyDescent="0.25">
      <c r="B26" s="13" t="s">
        <v>114</v>
      </c>
      <c r="C26" s="13"/>
      <c r="D26" s="13"/>
      <c r="E26" s="6" t="s">
        <v>115</v>
      </c>
      <c r="F26" s="18">
        <f>(F20-F21)/(F22/SQRT(F23))</f>
        <v>-2.632136810321547</v>
      </c>
      <c r="G26" s="18"/>
      <c r="I26" s="19"/>
      <c r="J26" s="19"/>
      <c r="K26" s="19"/>
      <c r="L26" s="19"/>
      <c r="M26" s="19"/>
      <c r="N26" s="19"/>
    </row>
    <row r="27" spans="2:14" x14ac:dyDescent="0.25">
      <c r="B27" s="13" t="s">
        <v>116</v>
      </c>
      <c r="C27" s="13"/>
      <c r="D27" s="13"/>
      <c r="E27" s="6" t="s">
        <v>117</v>
      </c>
      <c r="F27" s="18">
        <f>TINV(F19,27)</f>
        <v>2.7706829571231717</v>
      </c>
      <c r="G27" s="18"/>
      <c r="I27" s="20" t="s">
        <v>85</v>
      </c>
      <c r="J27" s="20"/>
      <c r="K27" s="20"/>
      <c r="L27" s="7" t="s">
        <v>118</v>
      </c>
      <c r="M27" s="7"/>
      <c r="N27" s="7"/>
    </row>
    <row r="28" spans="2:14" x14ac:dyDescent="0.25">
      <c r="B28" s="13" t="s">
        <v>87</v>
      </c>
      <c r="C28" s="13"/>
      <c r="D28" s="13"/>
      <c r="E28" s="6" t="s">
        <v>88</v>
      </c>
      <c r="F28" s="18">
        <f>TDIST(ABS(F26),27,2)</f>
        <v>0.013858659216406277</v>
      </c>
      <c r="G28" s="18"/>
      <c r="I28" s="19"/>
      <c r="J28" s="19"/>
      <c r="K28" s="19"/>
      <c r="L28" s="7"/>
      <c r="M28" s="7"/>
      <c r="N28" s="7"/>
    </row>
    <row r="29" spans="2:14" x14ac:dyDescent="0.25">
      <c r="B29" s="20" t="s">
        <v>5</v>
      </c>
      <c r="C29" s="20"/>
      <c r="D29" s="20"/>
      <c r="E29" s="7" t="s">
        <v>13</v>
      </c>
      <c r="F29" s="7"/>
      <c r="G29" s="7"/>
      <c r="I29" s="19"/>
      <c r="J29" s="19"/>
      <c r="K29" s="19"/>
      <c r="L29" s="7"/>
      <c r="M29" s="7"/>
      <c r="N29" s="7"/>
    </row>
    <row r="30" spans="2:7" x14ac:dyDescent="0.25">
      <c r="B30" s="19"/>
      <c r="C30" s="19"/>
      <c r="D30" s="19"/>
      <c r="E30" s="19"/>
      <c r="F30" s="19"/>
      <c r="G30" s="19"/>
    </row>
    <row r="31" spans="2:7" x14ac:dyDescent="0.25">
      <c r="B31" s="20" t="s">
        <v>85</v>
      </c>
      <c r="C31" s="20"/>
      <c r="D31" s="20"/>
      <c r="E31" s="7" t="s">
        <v>119</v>
      </c>
      <c r="F31" s="7"/>
      <c r="G31" s="7"/>
    </row>
    <row r="32" spans="2:7" x14ac:dyDescent="0.25">
      <c r="B32" s="19"/>
      <c r="C32" s="19"/>
      <c r="D32" s="19"/>
      <c r="E32" s="7"/>
      <c r="F32" s="7"/>
      <c r="G32" s="7"/>
    </row>
    <row r="33" spans="2:7" x14ac:dyDescent="0.25">
      <c r="B33" s="19"/>
      <c r="C33" s="19"/>
      <c r="D33" s="19"/>
      <c r="E33" s="7"/>
      <c r="F33" s="7"/>
      <c r="G33" s="7"/>
    </row>
  </sheetData>
  <mergeCells count="56">
    <mergeCell ref="B2:N2"/>
    <mergeCell ref="B4:N7"/>
    <mergeCell ref="C9:N10"/>
    <mergeCell ref="C11:N12"/>
    <mergeCell ref="B15:G15"/>
    <mergeCell ref="I15:N15"/>
    <mergeCell ref="B16:D16"/>
    <mergeCell ref="F16:G16"/>
    <mergeCell ref="I16:K16"/>
    <mergeCell ref="M16:N16"/>
    <mergeCell ref="B17:D17"/>
    <mergeCell ref="F17:G17"/>
    <mergeCell ref="I17:K17"/>
    <mergeCell ref="M17:N17"/>
    <mergeCell ref="B18:D18"/>
    <mergeCell ref="F18:G18"/>
    <mergeCell ref="I18:K18"/>
    <mergeCell ref="M18:N18"/>
    <mergeCell ref="B19:D19"/>
    <mergeCell ref="F19:G19"/>
    <mergeCell ref="I19:K19"/>
    <mergeCell ref="M19:N19"/>
    <mergeCell ref="B20:D20"/>
    <mergeCell ref="F20:G20"/>
    <mergeCell ref="I20:K20"/>
    <mergeCell ref="M20:N20"/>
    <mergeCell ref="B21:D21"/>
    <mergeCell ref="F21:G21"/>
    <mergeCell ref="I21:K21"/>
    <mergeCell ref="M21:N21"/>
    <mergeCell ref="B22:D22"/>
    <mergeCell ref="F22:G22"/>
    <mergeCell ref="I22:K22"/>
    <mergeCell ref="M22:N22"/>
    <mergeCell ref="B23:D23"/>
    <mergeCell ref="F23:G23"/>
    <mergeCell ref="I23:K23"/>
    <mergeCell ref="M23:N23"/>
    <mergeCell ref="B24:D24"/>
    <mergeCell ref="F24:G24"/>
    <mergeCell ref="I24:K24"/>
    <mergeCell ref="M24:N24"/>
    <mergeCell ref="I25:K25"/>
    <mergeCell ref="M25:N25"/>
    <mergeCell ref="B26:D26"/>
    <mergeCell ref="F26:G26"/>
    <mergeCell ref="B27:D27"/>
    <mergeCell ref="F27:G27"/>
    <mergeCell ref="I27:K27"/>
    <mergeCell ref="L27:N29"/>
    <mergeCell ref="B28:D28"/>
    <mergeCell ref="F28:G28"/>
    <mergeCell ref="B29:D29"/>
    <mergeCell ref="E29:G29"/>
    <mergeCell ref="B31:D31"/>
    <mergeCell ref="E31:G33"/>
  </mergeCells>
  <pageMargins left="0.25" right="0.25" top="0.4" bottom="0.4" header="0.2" footer="0.2"/>
  <pageSetup orientation="landscape"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2"/>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9" t="s">
        <v>21</v>
      </c>
      <c r="C2" s="9"/>
      <c r="D2" s="9"/>
      <c r="E2" s="9"/>
      <c r="F2" s="9"/>
      <c r="G2" s="9"/>
      <c r="H2" s="9"/>
      <c r="I2" s="9"/>
      <c r="J2" s="9"/>
      <c r="K2" s="9"/>
      <c r="L2" s="9"/>
      <c r="M2" s="9"/>
      <c r="N2" s="9"/>
    </row>
    <row r="4" ht="28" customHeight="1" spans="2:14" x14ac:dyDescent="0.25">
      <c r="B4" s="10" t="s">
        <v>120</v>
      </c>
      <c r="C4" s="10"/>
      <c r="D4" s="10"/>
      <c r="E4" s="10"/>
      <c r="F4" s="10"/>
      <c r="G4" s="10"/>
      <c r="H4" s="10"/>
      <c r="I4" s="10"/>
      <c r="J4" s="10"/>
      <c r="K4" s="10"/>
      <c r="L4" s="10"/>
      <c r="M4" s="10"/>
      <c r="N4" s="10"/>
    </row>
    <row r="5" ht="28" customHeight="1" spans="2:14" x14ac:dyDescent="0.25">
      <c r="B5" s="10"/>
      <c r="C5" s="10"/>
      <c r="D5" s="10"/>
      <c r="E5" s="10"/>
      <c r="F5" s="10"/>
      <c r="G5" s="10"/>
      <c r="H5" s="10"/>
      <c r="I5" s="10"/>
      <c r="J5" s="10"/>
      <c r="K5" s="10"/>
      <c r="L5" s="10"/>
      <c r="M5" s="10"/>
      <c r="N5" s="10"/>
    </row>
    <row r="6" ht="28" customHeight="1" spans="2:14" x14ac:dyDescent="0.25">
      <c r="B6" s="10"/>
      <c r="C6" s="10"/>
      <c r="D6" s="10"/>
      <c r="E6" s="10"/>
      <c r="F6" s="10"/>
      <c r="G6" s="10"/>
      <c r="H6" s="10"/>
      <c r="I6" s="10"/>
      <c r="J6" s="10"/>
      <c r="K6" s="10"/>
      <c r="L6" s="10"/>
      <c r="M6" s="10"/>
      <c r="N6" s="10"/>
    </row>
    <row r="7" ht="28" customHeight="1" spans="2:14" x14ac:dyDescent="0.25">
      <c r="B7" s="10"/>
      <c r="C7" s="10"/>
      <c r="D7" s="10"/>
      <c r="E7" s="10"/>
      <c r="F7" s="10"/>
      <c r="G7" s="10"/>
      <c r="H7" s="10"/>
      <c r="I7" s="10"/>
      <c r="J7" s="10"/>
      <c r="K7" s="10"/>
      <c r="L7" s="10"/>
      <c r="M7" s="10"/>
      <c r="N7" s="10"/>
    </row>
    <row r="9" spans="2:14" x14ac:dyDescent="0.25">
      <c r="B9" s="11" t="s">
        <v>46</v>
      </c>
      <c r="C9" s="12" t="s">
        <v>121</v>
      </c>
      <c r="D9" s="12"/>
      <c r="E9" s="12"/>
      <c r="F9" s="12"/>
      <c r="G9" s="12"/>
      <c r="H9" s="12"/>
      <c r="I9" s="12"/>
      <c r="J9" s="12"/>
      <c r="K9" s="12"/>
      <c r="L9" s="12"/>
      <c r="M9" s="12"/>
      <c r="N9" s="12"/>
    </row>
    <row r="10" spans="3:14" x14ac:dyDescent="0.25">
      <c r="C10" s="12"/>
      <c r="D10" s="12"/>
      <c r="E10" s="12"/>
      <c r="F10" s="12"/>
      <c r="G10" s="12"/>
      <c r="H10" s="12"/>
      <c r="I10" s="12"/>
      <c r="J10" s="12"/>
      <c r="K10" s="12"/>
      <c r="L10" s="12"/>
      <c r="M10" s="12"/>
      <c r="N10" s="12"/>
    </row>
    <row r="11" spans="2:14" x14ac:dyDescent="0.25">
      <c r="B11" s="11" t="s">
        <v>48</v>
      </c>
      <c r="C11" s="12" t="s">
        <v>122</v>
      </c>
      <c r="D11" s="12"/>
      <c r="E11" s="12"/>
      <c r="F11" s="12"/>
      <c r="G11" s="12"/>
      <c r="H11" s="12"/>
      <c r="I11" s="12"/>
      <c r="J11" s="12"/>
      <c r="K11" s="12"/>
      <c r="L11" s="12"/>
      <c r="M11" s="12"/>
      <c r="N11" s="12"/>
    </row>
    <row r="12" spans="3:14" x14ac:dyDescent="0.25">
      <c r="C12" s="12"/>
      <c r="D12" s="12"/>
      <c r="E12" s="12"/>
      <c r="F12" s="12"/>
      <c r="G12" s="12"/>
      <c r="H12" s="12"/>
      <c r="I12" s="12"/>
      <c r="J12" s="12"/>
      <c r="K12" s="12"/>
      <c r="L12" s="12"/>
      <c r="M12" s="12"/>
      <c r="N12" s="12"/>
    </row>
    <row r="15" spans="2:14" x14ac:dyDescent="0.25">
      <c r="B15" s="4" t="s">
        <v>50</v>
      </c>
      <c r="C15" s="4"/>
      <c r="D15" s="4"/>
      <c r="E15" s="4"/>
      <c r="F15" s="4"/>
      <c r="G15" s="4"/>
      <c r="I15" s="4" t="s">
        <v>51</v>
      </c>
      <c r="J15" s="4"/>
      <c r="K15" s="4"/>
      <c r="L15" s="4"/>
      <c r="M15" s="4"/>
      <c r="N15" s="4"/>
    </row>
    <row r="16" spans="2:14" x14ac:dyDescent="0.25">
      <c r="B16" s="3" t="s">
        <v>52</v>
      </c>
      <c r="C16" s="3"/>
      <c r="D16" s="3"/>
      <c r="E16" s="3" t="s">
        <v>53</v>
      </c>
      <c r="F16" s="3" t="s">
        <v>54</v>
      </c>
      <c r="G16" s="3"/>
      <c r="I16" s="3" t="s">
        <v>52</v>
      </c>
      <c r="J16" s="3"/>
      <c r="K16" s="3"/>
      <c r="L16" s="3" t="s">
        <v>53</v>
      </c>
      <c r="M16" s="3" t="s">
        <v>54</v>
      </c>
      <c r="N16" s="3"/>
    </row>
    <row r="17" spans="2:14" x14ac:dyDescent="0.25">
      <c r="B17" s="13" t="s">
        <v>55</v>
      </c>
      <c r="C17" s="13"/>
      <c r="D17" s="13"/>
      <c r="E17" s="6" t="s">
        <v>56</v>
      </c>
      <c r="F17" s="14" t="s">
        <v>123</v>
      </c>
      <c r="G17" s="14"/>
      <c r="I17" s="13" t="s">
        <v>58</v>
      </c>
      <c r="J17" s="13"/>
      <c r="K17" s="13"/>
      <c r="L17" s="6" t="s">
        <v>59</v>
      </c>
      <c r="M17" s="15">
        <v>0.975</v>
      </c>
      <c r="N17" s="15"/>
    </row>
    <row r="18" spans="2:14" x14ac:dyDescent="0.25">
      <c r="B18" s="13" t="s">
        <v>60</v>
      </c>
      <c r="C18" s="13"/>
      <c r="D18" s="13"/>
      <c r="E18" s="6" t="s">
        <v>61</v>
      </c>
      <c r="F18" s="14" t="s">
        <v>124</v>
      </c>
      <c r="G18" s="14"/>
      <c r="I18" s="13" t="s">
        <v>63</v>
      </c>
      <c r="J18" s="13"/>
      <c r="K18" s="13"/>
      <c r="L18" s="6" t="s">
        <v>64</v>
      </c>
      <c r="M18" s="16">
        <v>22.6</v>
      </c>
      <c r="N18" s="16"/>
    </row>
    <row r="19" spans="2:14" x14ac:dyDescent="0.25">
      <c r="B19" s="13" t="s">
        <v>65</v>
      </c>
      <c r="C19" s="13"/>
      <c r="D19" s="13"/>
      <c r="E19" s="6" t="s">
        <v>66</v>
      </c>
      <c r="F19" s="16">
        <v>0.05</v>
      </c>
      <c r="G19" s="16"/>
      <c r="I19" s="13" t="s">
        <v>67</v>
      </c>
      <c r="J19" s="13"/>
      <c r="K19" s="13"/>
      <c r="L19" s="6" t="s">
        <v>68</v>
      </c>
      <c r="M19" s="16">
        <v>2.5</v>
      </c>
      <c r="N19" s="16"/>
    </row>
    <row r="20" spans="2:14" x14ac:dyDescent="0.25">
      <c r="B20" s="13" t="s">
        <v>63</v>
      </c>
      <c r="C20" s="13"/>
      <c r="D20" s="13"/>
      <c r="E20" s="6" t="s">
        <v>64</v>
      </c>
      <c r="F20" s="16">
        <v>22.6</v>
      </c>
      <c r="G20" s="16"/>
      <c r="I20" s="13" t="s">
        <v>69</v>
      </c>
      <c r="J20" s="13"/>
      <c r="K20" s="13"/>
      <c r="L20" s="6" t="s">
        <v>70</v>
      </c>
      <c r="M20" s="17">
        <v>49</v>
      </c>
      <c r="N20" s="17"/>
    </row>
    <row r="21" spans="2:14" x14ac:dyDescent="0.25">
      <c r="B21" s="13" t="s">
        <v>71</v>
      </c>
      <c r="C21" s="13"/>
      <c r="D21" s="13"/>
      <c r="E21" s="6" t="s">
        <v>72</v>
      </c>
      <c r="F21" s="16">
        <v>25</v>
      </c>
      <c r="G21" s="16"/>
      <c r="I21" s="13" t="s">
        <v>73</v>
      </c>
      <c r="J21" s="13"/>
      <c r="K21" s="13"/>
      <c r="L21" s="6" t="s">
        <v>74</v>
      </c>
      <c r="M21" s="18">
        <f>_xlfn.NORM.S.INV((1+M17)/2)</f>
        <v>2.2414027264652865</v>
      </c>
      <c r="N21" s="18"/>
    </row>
    <row r="22" spans="2:14" x14ac:dyDescent="0.25">
      <c r="B22" s="13" t="s">
        <v>67</v>
      </c>
      <c r="C22" s="13"/>
      <c r="D22" s="13"/>
      <c r="E22" s="6" t="s">
        <v>68</v>
      </c>
      <c r="F22" s="16">
        <v>2.5</v>
      </c>
      <c r="G22" s="16"/>
      <c r="I22" s="13" t="s">
        <v>75</v>
      </c>
      <c r="J22" s="13"/>
      <c r="K22" s="13"/>
      <c r="L22" s="6" t="s">
        <v>76</v>
      </c>
      <c r="M22" s="18">
        <f>M21*M19/SQRT(M20)</f>
        <v>0.8005009737376023</v>
      </c>
      <c r="N22" s="18"/>
    </row>
    <row r="23" spans="2:14" x14ac:dyDescent="0.25">
      <c r="B23" s="13" t="s">
        <v>69</v>
      </c>
      <c r="C23" s="13"/>
      <c r="D23" s="13"/>
      <c r="E23" s="6" t="s">
        <v>70</v>
      </c>
      <c r="F23" s="17">
        <v>49</v>
      </c>
      <c r="G23" s="17"/>
      <c r="I23" s="13" t="s">
        <v>77</v>
      </c>
      <c r="J23" s="13"/>
      <c r="K23" s="13"/>
      <c r="L23" s="6" t="s">
        <v>78</v>
      </c>
      <c r="M23" s="18">
        <f>M18-M22</f>
        <v>21.7994990262624</v>
      </c>
      <c r="N23" s="18"/>
    </row>
    <row r="24" spans="2:14" x14ac:dyDescent="0.25">
      <c r="B24" s="19"/>
      <c r="C24" s="19"/>
      <c r="D24" s="19"/>
      <c r="E24" s="19"/>
      <c r="F24" s="19"/>
      <c r="G24" s="19"/>
      <c r="I24" s="13" t="s">
        <v>79</v>
      </c>
      <c r="J24" s="13"/>
      <c r="K24" s="13"/>
      <c r="L24" s="6" t="s">
        <v>80</v>
      </c>
      <c r="M24" s="18">
        <f>M18+M22</f>
        <v>23.400500973737604</v>
      </c>
      <c r="N24" s="18"/>
    </row>
    <row r="25" spans="2:14" x14ac:dyDescent="0.25">
      <c r="B25" s="13" t="s">
        <v>81</v>
      </c>
      <c r="C25" s="13"/>
      <c r="D25" s="13"/>
      <c r="E25" s="6" t="s">
        <v>82</v>
      </c>
      <c r="F25" s="18">
        <f>(F20-F21)/(F22/SQRT(F23))</f>
        <v>-6.719999999999996</v>
      </c>
      <c r="G25" s="18"/>
      <c r="I25" s="19"/>
      <c r="J25" s="19"/>
      <c r="K25" s="19"/>
      <c r="L25" s="19"/>
      <c r="M25" s="19"/>
      <c r="N25" s="19"/>
    </row>
    <row r="26" spans="2:14" x14ac:dyDescent="0.25">
      <c r="B26" s="13" t="s">
        <v>83</v>
      </c>
      <c r="C26" s="13"/>
      <c r="D26" s="13"/>
      <c r="E26" s="6" t="s">
        <v>84</v>
      </c>
      <c r="F26" s="18">
        <f>_xlfn.NORM.S.INV(F19)</f>
        <v>-1.6448536251336814</v>
      </c>
      <c r="G26" s="18"/>
      <c r="I26" s="20" t="s">
        <v>85</v>
      </c>
      <c r="J26" s="20"/>
      <c r="K26" s="20"/>
      <c r="L26" s="7" t="s">
        <v>125</v>
      </c>
      <c r="M26" s="7"/>
      <c r="N26" s="7"/>
    </row>
    <row r="27" spans="2:14" x14ac:dyDescent="0.25">
      <c r="B27" s="13" t="s">
        <v>87</v>
      </c>
      <c r="C27" s="13"/>
      <c r="D27" s="13"/>
      <c r="E27" s="6" t="s">
        <v>88</v>
      </c>
      <c r="F27" s="18">
        <f>_xlfn.NORM.S.DIST(F25,1)</f>
        <v>9.137024470362576e-12</v>
      </c>
      <c r="G27" s="18"/>
      <c r="I27" s="19"/>
      <c r="J27" s="19"/>
      <c r="K27" s="19"/>
      <c r="L27" s="7"/>
      <c r="M27" s="7"/>
      <c r="N27" s="7"/>
    </row>
    <row r="28" spans="2:14" x14ac:dyDescent="0.25">
      <c r="B28" s="20" t="s">
        <v>5</v>
      </c>
      <c r="C28" s="20"/>
      <c r="D28" s="20"/>
      <c r="E28" s="7" t="s">
        <v>9</v>
      </c>
      <c r="F28" s="7"/>
      <c r="G28" s="7"/>
      <c r="I28" s="19"/>
      <c r="J28" s="19"/>
      <c r="K28" s="19"/>
      <c r="L28" s="7"/>
      <c r="M28" s="7"/>
      <c r="N28" s="7"/>
    </row>
    <row r="29" spans="2:7" x14ac:dyDescent="0.25">
      <c r="B29" s="19"/>
      <c r="C29" s="19"/>
      <c r="D29" s="19"/>
      <c r="E29" s="19"/>
      <c r="F29" s="19"/>
      <c r="G29" s="19"/>
    </row>
    <row r="30" spans="2:7" x14ac:dyDescent="0.25">
      <c r="B30" s="20" t="s">
        <v>85</v>
      </c>
      <c r="C30" s="20"/>
      <c r="D30" s="20"/>
      <c r="E30" s="7" t="s">
        <v>126</v>
      </c>
      <c r="F30" s="7"/>
      <c r="G30" s="7"/>
    </row>
    <row r="31" spans="2:7" x14ac:dyDescent="0.25">
      <c r="B31" s="19"/>
      <c r="C31" s="19"/>
      <c r="D31" s="19"/>
      <c r="E31" s="7"/>
      <c r="F31" s="7"/>
      <c r="G31" s="7"/>
    </row>
    <row r="32" spans="2:7" x14ac:dyDescent="0.25">
      <c r="B32" s="19"/>
      <c r="C32" s="19"/>
      <c r="D32" s="19"/>
      <c r="E32" s="7"/>
      <c r="F32" s="7"/>
      <c r="G32" s="7"/>
    </row>
  </sheetData>
  <mergeCells count="52">
    <mergeCell ref="B2:N2"/>
    <mergeCell ref="B4:N7"/>
    <mergeCell ref="C9:N10"/>
    <mergeCell ref="C11:N12"/>
    <mergeCell ref="B15:G15"/>
    <mergeCell ref="I15:N15"/>
    <mergeCell ref="B16:D16"/>
    <mergeCell ref="F16:G16"/>
    <mergeCell ref="I16:K16"/>
    <mergeCell ref="M16:N16"/>
    <mergeCell ref="B17:D17"/>
    <mergeCell ref="F17:G17"/>
    <mergeCell ref="I17:K17"/>
    <mergeCell ref="M17:N17"/>
    <mergeCell ref="B18:D18"/>
    <mergeCell ref="F18:G18"/>
    <mergeCell ref="I18:K18"/>
    <mergeCell ref="M18:N18"/>
    <mergeCell ref="B19:D19"/>
    <mergeCell ref="F19:G19"/>
    <mergeCell ref="I19:K19"/>
    <mergeCell ref="M19:N19"/>
    <mergeCell ref="B20:D20"/>
    <mergeCell ref="F20:G20"/>
    <mergeCell ref="I20:K20"/>
    <mergeCell ref="M20:N20"/>
    <mergeCell ref="B21:D21"/>
    <mergeCell ref="F21:G21"/>
    <mergeCell ref="I21:K21"/>
    <mergeCell ref="M21:N21"/>
    <mergeCell ref="B22:D22"/>
    <mergeCell ref="F22:G22"/>
    <mergeCell ref="I22:K22"/>
    <mergeCell ref="M22:N22"/>
    <mergeCell ref="B23:D23"/>
    <mergeCell ref="F23:G23"/>
    <mergeCell ref="I23:K23"/>
    <mergeCell ref="M23:N23"/>
    <mergeCell ref="I24:K24"/>
    <mergeCell ref="M24:N24"/>
    <mergeCell ref="B25:D25"/>
    <mergeCell ref="F25:G25"/>
    <mergeCell ref="B26:D26"/>
    <mergeCell ref="F26:G26"/>
    <mergeCell ref="I26:K26"/>
    <mergeCell ref="L26:N28"/>
    <mergeCell ref="B27:D27"/>
    <mergeCell ref="F27:G27"/>
    <mergeCell ref="B28:D28"/>
    <mergeCell ref="E28:G28"/>
    <mergeCell ref="B30:D30"/>
    <mergeCell ref="E30:G32"/>
  </mergeCells>
  <pageMargins left="0.25" right="0.25" top="0.4" bottom="0.4" header="0.2" footer="0.2"/>
  <pageSetup orientation="landscape"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3"/>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9" t="s">
        <v>24</v>
      </c>
      <c r="C2" s="9"/>
      <c r="D2" s="9"/>
      <c r="E2" s="9"/>
      <c r="F2" s="9"/>
      <c r="G2" s="9"/>
      <c r="H2" s="9"/>
      <c r="I2" s="9"/>
      <c r="J2" s="9"/>
      <c r="K2" s="9"/>
      <c r="L2" s="9"/>
      <c r="M2" s="9"/>
      <c r="N2" s="9"/>
    </row>
    <row r="4" ht="28" customHeight="1" spans="2:14" x14ac:dyDescent="0.25">
      <c r="B4" s="10" t="s">
        <v>127</v>
      </c>
      <c r="C4" s="10"/>
      <c r="D4" s="10"/>
      <c r="E4" s="10"/>
      <c r="F4" s="10"/>
      <c r="G4" s="10"/>
      <c r="H4" s="10"/>
      <c r="I4" s="10"/>
      <c r="J4" s="10"/>
      <c r="K4" s="10"/>
      <c r="L4" s="10"/>
      <c r="M4" s="10"/>
      <c r="N4" s="10"/>
    </row>
    <row r="5" ht="28" customHeight="1" spans="2:14" x14ac:dyDescent="0.25">
      <c r="B5" s="10"/>
      <c r="C5" s="10"/>
      <c r="D5" s="10"/>
      <c r="E5" s="10"/>
      <c r="F5" s="10"/>
      <c r="G5" s="10"/>
      <c r="H5" s="10"/>
      <c r="I5" s="10"/>
      <c r="J5" s="10"/>
      <c r="K5" s="10"/>
      <c r="L5" s="10"/>
      <c r="M5" s="10"/>
      <c r="N5" s="10"/>
    </row>
    <row r="6" ht="28" customHeight="1" spans="2:14" x14ac:dyDescent="0.25">
      <c r="B6" s="10"/>
      <c r="C6" s="10"/>
      <c r="D6" s="10"/>
      <c r="E6" s="10"/>
      <c r="F6" s="10"/>
      <c r="G6" s="10"/>
      <c r="H6" s="10"/>
      <c r="I6" s="10"/>
      <c r="J6" s="10"/>
      <c r="K6" s="10"/>
      <c r="L6" s="10"/>
      <c r="M6" s="10"/>
      <c r="N6" s="10"/>
    </row>
    <row r="7" ht="28" customHeight="1" spans="2:14" x14ac:dyDescent="0.25">
      <c r="B7" s="10"/>
      <c r="C7" s="10"/>
      <c r="D7" s="10"/>
      <c r="E7" s="10"/>
      <c r="F7" s="10"/>
      <c r="G7" s="10"/>
      <c r="H7" s="10"/>
      <c r="I7" s="10"/>
      <c r="J7" s="10"/>
      <c r="K7" s="10"/>
      <c r="L7" s="10"/>
      <c r="M7" s="10"/>
      <c r="N7" s="10"/>
    </row>
    <row r="9" spans="2:14" x14ac:dyDescent="0.25">
      <c r="B9" s="11" t="s">
        <v>46</v>
      </c>
      <c r="C9" s="12" t="s">
        <v>128</v>
      </c>
      <c r="D9" s="12"/>
      <c r="E9" s="12"/>
      <c r="F9" s="12"/>
      <c r="G9" s="12"/>
      <c r="H9" s="12"/>
      <c r="I9" s="12"/>
      <c r="J9" s="12"/>
      <c r="K9" s="12"/>
      <c r="L9" s="12"/>
      <c r="M9" s="12"/>
      <c r="N9" s="12"/>
    </row>
    <row r="10" spans="3:14" x14ac:dyDescent="0.25">
      <c r="C10" s="12"/>
      <c r="D10" s="12"/>
      <c r="E10" s="12"/>
      <c r="F10" s="12"/>
      <c r="G10" s="12"/>
      <c r="H10" s="12"/>
      <c r="I10" s="12"/>
      <c r="J10" s="12"/>
      <c r="K10" s="12"/>
      <c r="L10" s="12"/>
      <c r="M10" s="12"/>
      <c r="N10" s="12"/>
    </row>
    <row r="11" spans="2:14" x14ac:dyDescent="0.25">
      <c r="B11" s="11" t="s">
        <v>48</v>
      </c>
      <c r="C11" s="12" t="s">
        <v>129</v>
      </c>
      <c r="D11" s="12"/>
      <c r="E11" s="12"/>
      <c r="F11" s="12"/>
      <c r="G11" s="12"/>
      <c r="H11" s="12"/>
      <c r="I11" s="12"/>
      <c r="J11" s="12"/>
      <c r="K11" s="12"/>
      <c r="L11" s="12"/>
      <c r="M11" s="12"/>
      <c r="N11" s="12"/>
    </row>
    <row r="12" spans="3:14" x14ac:dyDescent="0.25">
      <c r="C12" s="12"/>
      <c r="D12" s="12"/>
      <c r="E12" s="12"/>
      <c r="F12" s="12"/>
      <c r="G12" s="12"/>
      <c r="H12" s="12"/>
      <c r="I12" s="12"/>
      <c r="J12" s="12"/>
      <c r="K12" s="12"/>
      <c r="L12" s="12"/>
      <c r="M12" s="12"/>
      <c r="N12" s="12"/>
    </row>
    <row r="15" spans="2:14" x14ac:dyDescent="0.25">
      <c r="B15" s="4" t="s">
        <v>50</v>
      </c>
      <c r="C15" s="4"/>
      <c r="D15" s="4"/>
      <c r="E15" s="4"/>
      <c r="F15" s="4"/>
      <c r="G15" s="4"/>
      <c r="I15" s="4" t="s">
        <v>51</v>
      </c>
      <c r="J15" s="4"/>
      <c r="K15" s="4"/>
      <c r="L15" s="4"/>
      <c r="M15" s="4"/>
      <c r="N15" s="4"/>
    </row>
    <row r="16" spans="2:14" x14ac:dyDescent="0.25">
      <c r="B16" s="3" t="s">
        <v>52</v>
      </c>
      <c r="C16" s="3"/>
      <c r="D16" s="3"/>
      <c r="E16" s="3" t="s">
        <v>53</v>
      </c>
      <c r="F16" s="3" t="s">
        <v>54</v>
      </c>
      <c r="G16" s="3"/>
      <c r="I16" s="3" t="s">
        <v>52</v>
      </c>
      <c r="J16" s="3"/>
      <c r="K16" s="3"/>
      <c r="L16" s="3" t="s">
        <v>53</v>
      </c>
      <c r="M16" s="3" t="s">
        <v>54</v>
      </c>
      <c r="N16" s="3"/>
    </row>
    <row r="17" spans="2:14" x14ac:dyDescent="0.25">
      <c r="B17" s="13" t="s">
        <v>55</v>
      </c>
      <c r="C17" s="13"/>
      <c r="D17" s="13"/>
      <c r="E17" s="6" t="s">
        <v>56</v>
      </c>
      <c r="F17" s="14" t="s">
        <v>130</v>
      </c>
      <c r="G17" s="14"/>
      <c r="I17" s="13" t="s">
        <v>58</v>
      </c>
      <c r="J17" s="13"/>
      <c r="K17" s="13"/>
      <c r="L17" s="6" t="s">
        <v>59</v>
      </c>
      <c r="M17" s="15">
        <v>0.99</v>
      </c>
      <c r="N17" s="15"/>
    </row>
    <row r="18" spans="2:14" x14ac:dyDescent="0.25">
      <c r="B18" s="13" t="s">
        <v>60</v>
      </c>
      <c r="C18" s="13"/>
      <c r="D18" s="13"/>
      <c r="E18" s="6" t="s">
        <v>61</v>
      </c>
      <c r="F18" s="14" t="s">
        <v>131</v>
      </c>
      <c r="G18" s="14"/>
      <c r="I18" s="13" t="s">
        <v>63</v>
      </c>
      <c r="J18" s="13"/>
      <c r="K18" s="13"/>
      <c r="L18" s="6" t="s">
        <v>64</v>
      </c>
      <c r="M18" s="16">
        <v>79.5</v>
      </c>
      <c r="N18" s="16"/>
    </row>
    <row r="19" spans="2:14" x14ac:dyDescent="0.25">
      <c r="B19" s="13" t="s">
        <v>65</v>
      </c>
      <c r="C19" s="13"/>
      <c r="D19" s="13"/>
      <c r="E19" s="6" t="s">
        <v>66</v>
      </c>
      <c r="F19" s="16">
        <v>0.01</v>
      </c>
      <c r="G19" s="16"/>
      <c r="I19" s="13" t="s">
        <v>67</v>
      </c>
      <c r="J19" s="13"/>
      <c r="K19" s="13"/>
      <c r="L19" s="6" t="s">
        <v>68</v>
      </c>
      <c r="M19" s="16">
        <v>7.8</v>
      </c>
      <c r="N19" s="16"/>
    </row>
    <row r="20" spans="2:14" x14ac:dyDescent="0.25">
      <c r="B20" s="13" t="s">
        <v>63</v>
      </c>
      <c r="C20" s="13"/>
      <c r="D20" s="13"/>
      <c r="E20" s="6" t="s">
        <v>64</v>
      </c>
      <c r="F20" s="16">
        <v>79.5</v>
      </c>
      <c r="G20" s="16"/>
      <c r="I20" s="13" t="s">
        <v>69</v>
      </c>
      <c r="J20" s="13"/>
      <c r="K20" s="13"/>
      <c r="L20" s="6" t="s">
        <v>70</v>
      </c>
      <c r="M20" s="17">
        <v>12</v>
      </c>
      <c r="N20" s="17"/>
    </row>
    <row r="21" spans="2:14" x14ac:dyDescent="0.25">
      <c r="B21" s="13" t="s">
        <v>71</v>
      </c>
      <c r="C21" s="13"/>
      <c r="D21" s="13"/>
      <c r="E21" s="6" t="s">
        <v>72</v>
      </c>
      <c r="F21" s="16">
        <v>80</v>
      </c>
      <c r="G21" s="16"/>
      <c r="I21" s="13" t="s">
        <v>110</v>
      </c>
      <c r="J21" s="13"/>
      <c r="K21" s="13"/>
      <c r="L21" s="6" t="s">
        <v>111</v>
      </c>
      <c r="M21" s="17">
        <v>11</v>
      </c>
      <c r="N21" s="17"/>
    </row>
    <row r="22" spans="2:14" x14ac:dyDescent="0.25">
      <c r="B22" s="13" t="s">
        <v>67</v>
      </c>
      <c r="C22" s="13"/>
      <c r="D22" s="13"/>
      <c r="E22" s="6" t="s">
        <v>68</v>
      </c>
      <c r="F22" s="16">
        <v>7.8</v>
      </c>
      <c r="G22" s="16"/>
      <c r="I22" s="13" t="s">
        <v>112</v>
      </c>
      <c r="J22" s="13"/>
      <c r="K22" s="13"/>
      <c r="L22" s="6" t="s">
        <v>113</v>
      </c>
      <c r="M22" s="18">
        <f>TINV(1-M17,11)</f>
        <v>3.1058065155403654</v>
      </c>
      <c r="N22" s="18"/>
    </row>
    <row r="23" spans="2:14" x14ac:dyDescent="0.25">
      <c r="B23" s="13" t="s">
        <v>69</v>
      </c>
      <c r="C23" s="13"/>
      <c r="D23" s="13"/>
      <c r="E23" s="6" t="s">
        <v>70</v>
      </c>
      <c r="F23" s="17">
        <v>12</v>
      </c>
      <c r="G23" s="17"/>
      <c r="I23" s="13" t="s">
        <v>75</v>
      </c>
      <c r="J23" s="13"/>
      <c r="K23" s="13"/>
      <c r="L23" s="6" t="s">
        <v>76</v>
      </c>
      <c r="M23" s="18">
        <f>M22*M19/SQRT(M20)</f>
        <v>6.993239088412682</v>
      </c>
      <c r="N23" s="18"/>
    </row>
    <row r="24" spans="2:14" x14ac:dyDescent="0.25">
      <c r="B24" s="13" t="s">
        <v>110</v>
      </c>
      <c r="C24" s="13"/>
      <c r="D24" s="13"/>
      <c r="E24" s="6" t="s">
        <v>111</v>
      </c>
      <c r="F24" s="17">
        <v>11</v>
      </c>
      <c r="G24" s="17"/>
      <c r="I24" s="13" t="s">
        <v>77</v>
      </c>
      <c r="J24" s="13"/>
      <c r="K24" s="13"/>
      <c r="L24" s="6" t="s">
        <v>78</v>
      </c>
      <c r="M24" s="18">
        <f>M18-M23</f>
        <v>72.50676091158732</v>
      </c>
      <c r="N24" s="18"/>
    </row>
    <row r="25" spans="2:14" x14ac:dyDescent="0.25">
      <c r="B25" s="19"/>
      <c r="C25" s="19"/>
      <c r="D25" s="19"/>
      <c r="E25" s="19"/>
      <c r="F25" s="19"/>
      <c r="G25" s="19"/>
      <c r="I25" s="13" t="s">
        <v>79</v>
      </c>
      <c r="J25" s="13"/>
      <c r="K25" s="13"/>
      <c r="L25" s="6" t="s">
        <v>80</v>
      </c>
      <c r="M25" s="18">
        <f>M18+M23</f>
        <v>86.49323908841268</v>
      </c>
      <c r="N25" s="18"/>
    </row>
    <row r="26" spans="2:14" x14ac:dyDescent="0.25">
      <c r="B26" s="13" t="s">
        <v>114</v>
      </c>
      <c r="C26" s="13"/>
      <c r="D26" s="13"/>
      <c r="E26" s="6" t="s">
        <v>115</v>
      </c>
      <c r="F26" s="18">
        <f>(F20-F21)/(F22/SQRT(F23))</f>
        <v>-0.22205779584216373</v>
      </c>
      <c r="G26" s="18"/>
      <c r="I26" s="19"/>
      <c r="J26" s="19"/>
      <c r="K26" s="19"/>
      <c r="L26" s="19"/>
      <c r="M26" s="19"/>
      <c r="N26" s="19"/>
    </row>
    <row r="27" spans="2:14" x14ac:dyDescent="0.25">
      <c r="B27" s="13" t="s">
        <v>116</v>
      </c>
      <c r="C27" s="13"/>
      <c r="D27" s="13"/>
      <c r="E27" s="6" t="s">
        <v>117</v>
      </c>
      <c r="F27" s="18">
        <f>TINV(F19,11)</f>
        <v>3.1058065155403654</v>
      </c>
      <c r="G27" s="18"/>
      <c r="I27" s="20" t="s">
        <v>85</v>
      </c>
      <c r="J27" s="20"/>
      <c r="K27" s="20"/>
      <c r="L27" s="7" t="s">
        <v>132</v>
      </c>
      <c r="M27" s="7"/>
      <c r="N27" s="7"/>
    </row>
    <row r="28" spans="2:14" x14ac:dyDescent="0.25">
      <c r="B28" s="13" t="s">
        <v>87</v>
      </c>
      <c r="C28" s="13"/>
      <c r="D28" s="13"/>
      <c r="E28" s="6" t="s">
        <v>88</v>
      </c>
      <c r="F28" s="18">
        <f>TDIST(ABS(F26),11,2)</f>
        <v>0.8283377854297935</v>
      </c>
      <c r="G28" s="18"/>
      <c r="I28" s="19"/>
      <c r="J28" s="19"/>
      <c r="K28" s="19"/>
      <c r="L28" s="7"/>
      <c r="M28" s="7"/>
      <c r="N28" s="7"/>
    </row>
    <row r="29" spans="2:14" x14ac:dyDescent="0.25">
      <c r="B29" s="20" t="s">
        <v>5</v>
      </c>
      <c r="C29" s="20"/>
      <c r="D29" s="20"/>
      <c r="E29" s="7" t="s">
        <v>13</v>
      </c>
      <c r="F29" s="7"/>
      <c r="G29" s="7"/>
      <c r="I29" s="19"/>
      <c r="J29" s="19"/>
      <c r="K29" s="19"/>
      <c r="L29" s="7"/>
      <c r="M29" s="7"/>
      <c r="N29" s="7"/>
    </row>
    <row r="30" spans="2:7" x14ac:dyDescent="0.25">
      <c r="B30" s="19"/>
      <c r="C30" s="19"/>
      <c r="D30" s="19"/>
      <c r="E30" s="19"/>
      <c r="F30" s="19"/>
      <c r="G30" s="19"/>
    </row>
    <row r="31" spans="2:7" x14ac:dyDescent="0.25">
      <c r="B31" s="20" t="s">
        <v>85</v>
      </c>
      <c r="C31" s="20"/>
      <c r="D31" s="20"/>
      <c r="E31" s="7" t="s">
        <v>133</v>
      </c>
      <c r="F31" s="7"/>
      <c r="G31" s="7"/>
    </row>
    <row r="32" spans="2:7" x14ac:dyDescent="0.25">
      <c r="B32" s="19"/>
      <c r="C32" s="19"/>
      <c r="D32" s="19"/>
      <c r="E32" s="7"/>
      <c r="F32" s="7"/>
      <c r="G32" s="7"/>
    </row>
    <row r="33" spans="2:7" x14ac:dyDescent="0.25">
      <c r="B33" s="19"/>
      <c r="C33" s="19"/>
      <c r="D33" s="19"/>
      <c r="E33" s="7"/>
      <c r="F33" s="7"/>
      <c r="G33" s="7"/>
    </row>
  </sheetData>
  <mergeCells count="56">
    <mergeCell ref="B2:N2"/>
    <mergeCell ref="B4:N7"/>
    <mergeCell ref="C9:N10"/>
    <mergeCell ref="C11:N12"/>
    <mergeCell ref="B15:G15"/>
    <mergeCell ref="I15:N15"/>
    <mergeCell ref="B16:D16"/>
    <mergeCell ref="F16:G16"/>
    <mergeCell ref="I16:K16"/>
    <mergeCell ref="M16:N16"/>
    <mergeCell ref="B17:D17"/>
    <mergeCell ref="F17:G17"/>
    <mergeCell ref="I17:K17"/>
    <mergeCell ref="M17:N17"/>
    <mergeCell ref="B18:D18"/>
    <mergeCell ref="F18:G18"/>
    <mergeCell ref="I18:K18"/>
    <mergeCell ref="M18:N18"/>
    <mergeCell ref="B19:D19"/>
    <mergeCell ref="F19:G19"/>
    <mergeCell ref="I19:K19"/>
    <mergeCell ref="M19:N19"/>
    <mergeCell ref="B20:D20"/>
    <mergeCell ref="F20:G20"/>
    <mergeCell ref="I20:K20"/>
    <mergeCell ref="M20:N20"/>
    <mergeCell ref="B21:D21"/>
    <mergeCell ref="F21:G21"/>
    <mergeCell ref="I21:K21"/>
    <mergeCell ref="M21:N21"/>
    <mergeCell ref="B22:D22"/>
    <mergeCell ref="F22:G22"/>
    <mergeCell ref="I22:K22"/>
    <mergeCell ref="M22:N22"/>
    <mergeCell ref="B23:D23"/>
    <mergeCell ref="F23:G23"/>
    <mergeCell ref="I23:K23"/>
    <mergeCell ref="M23:N23"/>
    <mergeCell ref="B24:D24"/>
    <mergeCell ref="F24:G24"/>
    <mergeCell ref="I24:K24"/>
    <mergeCell ref="M24:N24"/>
    <mergeCell ref="I25:K25"/>
    <mergeCell ref="M25:N25"/>
    <mergeCell ref="B26:D26"/>
    <mergeCell ref="F26:G26"/>
    <mergeCell ref="B27:D27"/>
    <mergeCell ref="F27:G27"/>
    <mergeCell ref="I27:K27"/>
    <mergeCell ref="L27:N29"/>
    <mergeCell ref="B28:D28"/>
    <mergeCell ref="F28:G28"/>
    <mergeCell ref="B29:D29"/>
    <mergeCell ref="E29:G29"/>
    <mergeCell ref="B31:D31"/>
    <mergeCell ref="E31:G33"/>
  </mergeCells>
  <pageMargins left="0.25" right="0.25" top="0.4" bottom="0.4" header="0.2" footer="0.2"/>
  <pageSetup orientation="landscape"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2"/>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9" t="s">
        <v>27</v>
      </c>
      <c r="C2" s="9"/>
      <c r="D2" s="9"/>
      <c r="E2" s="9"/>
      <c r="F2" s="9"/>
      <c r="G2" s="9"/>
      <c r="H2" s="9"/>
      <c r="I2" s="9"/>
      <c r="J2" s="9"/>
      <c r="K2" s="9"/>
      <c r="L2" s="9"/>
      <c r="M2" s="9"/>
      <c r="N2" s="9"/>
    </row>
    <row r="4" ht="28" customHeight="1" spans="2:14" x14ac:dyDescent="0.25">
      <c r="B4" s="10" t="s">
        <v>134</v>
      </c>
      <c r="C4" s="10"/>
      <c r="D4" s="10"/>
      <c r="E4" s="10"/>
      <c r="F4" s="10"/>
      <c r="G4" s="10"/>
      <c r="H4" s="10"/>
      <c r="I4" s="10"/>
      <c r="J4" s="10"/>
      <c r="K4" s="10"/>
      <c r="L4" s="10"/>
      <c r="M4" s="10"/>
      <c r="N4" s="10"/>
    </row>
    <row r="5" ht="28" customHeight="1" spans="2:14" x14ac:dyDescent="0.25">
      <c r="B5" s="10"/>
      <c r="C5" s="10"/>
      <c r="D5" s="10"/>
      <c r="E5" s="10"/>
      <c r="F5" s="10"/>
      <c r="G5" s="10"/>
      <c r="H5" s="10"/>
      <c r="I5" s="10"/>
      <c r="J5" s="10"/>
      <c r="K5" s="10"/>
      <c r="L5" s="10"/>
      <c r="M5" s="10"/>
      <c r="N5" s="10"/>
    </row>
    <row r="6" ht="28" customHeight="1" spans="2:14" x14ac:dyDescent="0.25">
      <c r="B6" s="10"/>
      <c r="C6" s="10"/>
      <c r="D6" s="10"/>
      <c r="E6" s="10"/>
      <c r="F6" s="10"/>
      <c r="G6" s="10"/>
      <c r="H6" s="10"/>
      <c r="I6" s="10"/>
      <c r="J6" s="10"/>
      <c r="K6" s="10"/>
      <c r="L6" s="10"/>
      <c r="M6" s="10"/>
      <c r="N6" s="10"/>
    </row>
    <row r="7" ht="28" customHeight="1" spans="2:14" x14ac:dyDescent="0.25">
      <c r="B7" s="10"/>
      <c r="C7" s="10"/>
      <c r="D7" s="10"/>
      <c r="E7" s="10"/>
      <c r="F7" s="10"/>
      <c r="G7" s="10"/>
      <c r="H7" s="10"/>
      <c r="I7" s="10"/>
      <c r="J7" s="10"/>
      <c r="K7" s="10"/>
      <c r="L7" s="10"/>
      <c r="M7" s="10"/>
      <c r="N7" s="10"/>
    </row>
    <row r="9" spans="2:14" x14ac:dyDescent="0.25">
      <c r="B9" s="11" t="s">
        <v>46</v>
      </c>
      <c r="C9" s="12" t="s">
        <v>135</v>
      </c>
      <c r="D9" s="12"/>
      <c r="E9" s="12"/>
      <c r="F9" s="12"/>
      <c r="G9" s="12"/>
      <c r="H9" s="12"/>
      <c r="I9" s="12"/>
      <c r="J9" s="12"/>
      <c r="K9" s="12"/>
      <c r="L9" s="12"/>
      <c r="M9" s="12"/>
      <c r="N9" s="12"/>
    </row>
    <row r="10" spans="3:14" x14ac:dyDescent="0.25">
      <c r="C10" s="12"/>
      <c r="D10" s="12"/>
      <c r="E10" s="12"/>
      <c r="F10" s="12"/>
      <c r="G10" s="12"/>
      <c r="H10" s="12"/>
      <c r="I10" s="12"/>
      <c r="J10" s="12"/>
      <c r="K10" s="12"/>
      <c r="L10" s="12"/>
      <c r="M10" s="12"/>
      <c r="N10" s="12"/>
    </row>
    <row r="11" spans="2:14" x14ac:dyDescent="0.25">
      <c r="B11" s="11" t="s">
        <v>48</v>
      </c>
      <c r="C11" s="12" t="s">
        <v>136</v>
      </c>
      <c r="D11" s="12"/>
      <c r="E11" s="12"/>
      <c r="F11" s="12"/>
      <c r="G11" s="12"/>
      <c r="H11" s="12"/>
      <c r="I11" s="12"/>
      <c r="J11" s="12"/>
      <c r="K11" s="12"/>
      <c r="L11" s="12"/>
      <c r="M11" s="12"/>
      <c r="N11" s="12"/>
    </row>
    <row r="12" spans="3:14" x14ac:dyDescent="0.25">
      <c r="C12" s="12"/>
      <c r="D12" s="12"/>
      <c r="E12" s="12"/>
      <c r="F12" s="12"/>
      <c r="G12" s="12"/>
      <c r="H12" s="12"/>
      <c r="I12" s="12"/>
      <c r="J12" s="12"/>
      <c r="K12" s="12"/>
      <c r="L12" s="12"/>
      <c r="M12" s="12"/>
      <c r="N12" s="12"/>
    </row>
    <row r="15" spans="2:14" x14ac:dyDescent="0.25">
      <c r="B15" s="4" t="s">
        <v>50</v>
      </c>
      <c r="C15" s="4"/>
      <c r="D15" s="4"/>
      <c r="E15" s="4"/>
      <c r="F15" s="4"/>
      <c r="G15" s="4"/>
      <c r="I15" s="4" t="s">
        <v>51</v>
      </c>
      <c r="J15" s="4"/>
      <c r="K15" s="4"/>
      <c r="L15" s="4"/>
      <c r="M15" s="4"/>
      <c r="N15" s="4"/>
    </row>
    <row r="16" spans="2:14" x14ac:dyDescent="0.25">
      <c r="B16" s="3" t="s">
        <v>52</v>
      </c>
      <c r="C16" s="3"/>
      <c r="D16" s="3"/>
      <c r="E16" s="3" t="s">
        <v>53</v>
      </c>
      <c r="F16" s="3" t="s">
        <v>54</v>
      </c>
      <c r="G16" s="3"/>
      <c r="I16" s="3" t="s">
        <v>52</v>
      </c>
      <c r="J16" s="3"/>
      <c r="K16" s="3"/>
      <c r="L16" s="3" t="s">
        <v>53</v>
      </c>
      <c r="M16" s="3" t="s">
        <v>54</v>
      </c>
      <c r="N16" s="3"/>
    </row>
    <row r="17" spans="2:14" x14ac:dyDescent="0.25">
      <c r="B17" s="13" t="s">
        <v>55</v>
      </c>
      <c r="C17" s="13"/>
      <c r="D17" s="13"/>
      <c r="E17" s="6" t="s">
        <v>56</v>
      </c>
      <c r="F17" s="14" t="s">
        <v>137</v>
      </c>
      <c r="G17" s="14"/>
      <c r="I17" s="13" t="s">
        <v>58</v>
      </c>
      <c r="J17" s="13"/>
      <c r="K17" s="13"/>
      <c r="L17" s="6" t="s">
        <v>59</v>
      </c>
      <c r="M17" s="15">
        <v>0.95</v>
      </c>
      <c r="N17" s="15"/>
    </row>
    <row r="18" spans="2:14" x14ac:dyDescent="0.25">
      <c r="B18" s="13" t="s">
        <v>60</v>
      </c>
      <c r="C18" s="13"/>
      <c r="D18" s="13"/>
      <c r="E18" s="6" t="s">
        <v>61</v>
      </c>
      <c r="F18" s="14" t="s">
        <v>138</v>
      </c>
      <c r="G18" s="14"/>
      <c r="I18" s="13" t="s">
        <v>63</v>
      </c>
      <c r="J18" s="13"/>
      <c r="K18" s="13"/>
      <c r="L18" s="6" t="s">
        <v>64</v>
      </c>
      <c r="M18" s="16">
        <v>625</v>
      </c>
      <c r="N18" s="16"/>
    </row>
    <row r="19" spans="2:14" x14ac:dyDescent="0.25">
      <c r="B19" s="13" t="s">
        <v>65</v>
      </c>
      <c r="C19" s="13"/>
      <c r="D19" s="13"/>
      <c r="E19" s="6" t="s">
        <v>66</v>
      </c>
      <c r="F19" s="16">
        <v>0.01</v>
      </c>
      <c r="G19" s="16"/>
      <c r="I19" s="13" t="s">
        <v>67</v>
      </c>
      <c r="J19" s="13"/>
      <c r="K19" s="13"/>
      <c r="L19" s="6" t="s">
        <v>95</v>
      </c>
      <c r="M19" s="16">
        <v>75</v>
      </c>
      <c r="N19" s="16"/>
    </row>
    <row r="20" spans="2:14" x14ac:dyDescent="0.25">
      <c r="B20" s="13" t="s">
        <v>63</v>
      </c>
      <c r="C20" s="13"/>
      <c r="D20" s="13"/>
      <c r="E20" s="6" t="s">
        <v>64</v>
      </c>
      <c r="F20" s="16">
        <v>625</v>
      </c>
      <c r="G20" s="16"/>
      <c r="I20" s="13" t="s">
        <v>69</v>
      </c>
      <c r="J20" s="13"/>
      <c r="K20" s="13"/>
      <c r="L20" s="6" t="s">
        <v>70</v>
      </c>
      <c r="M20" s="17">
        <v>30</v>
      </c>
      <c r="N20" s="17"/>
    </row>
    <row r="21" spans="2:14" x14ac:dyDescent="0.25">
      <c r="B21" s="13" t="s">
        <v>71</v>
      </c>
      <c r="C21" s="13"/>
      <c r="D21" s="13"/>
      <c r="E21" s="6" t="s">
        <v>72</v>
      </c>
      <c r="F21" s="16">
        <v>675</v>
      </c>
      <c r="G21" s="16"/>
      <c r="I21" s="13" t="s">
        <v>73</v>
      </c>
      <c r="J21" s="13"/>
      <c r="K21" s="13"/>
      <c r="L21" s="6" t="s">
        <v>74</v>
      </c>
      <c r="M21" s="18">
        <f>_xlfn.NORM.S.INV((1+M17)/2)</f>
        <v>1.959963986120195</v>
      </c>
      <c r="N21" s="18"/>
    </row>
    <row r="22" spans="2:14" x14ac:dyDescent="0.25">
      <c r="B22" s="13" t="s">
        <v>67</v>
      </c>
      <c r="C22" s="13"/>
      <c r="D22" s="13"/>
      <c r="E22" s="6" t="s">
        <v>95</v>
      </c>
      <c r="F22" s="16">
        <v>75</v>
      </c>
      <c r="G22" s="16"/>
      <c r="I22" s="13" t="s">
        <v>75</v>
      </c>
      <c r="J22" s="13"/>
      <c r="K22" s="13"/>
      <c r="L22" s="6" t="s">
        <v>76</v>
      </c>
      <c r="M22" s="18">
        <f>M21*M19/SQRT(M20)</f>
        <v>26.837912177394326</v>
      </c>
      <c r="N22" s="18"/>
    </row>
    <row r="23" spans="2:14" x14ac:dyDescent="0.25">
      <c r="B23" s="13" t="s">
        <v>69</v>
      </c>
      <c r="C23" s="13"/>
      <c r="D23" s="13"/>
      <c r="E23" s="6" t="s">
        <v>70</v>
      </c>
      <c r="F23" s="17">
        <v>30</v>
      </c>
      <c r="G23" s="17"/>
      <c r="I23" s="13" t="s">
        <v>77</v>
      </c>
      <c r="J23" s="13"/>
      <c r="K23" s="13"/>
      <c r="L23" s="6" t="s">
        <v>78</v>
      </c>
      <c r="M23" s="18">
        <f>M18-M22</f>
        <v>598.1620878226057</v>
      </c>
      <c r="N23" s="18"/>
    </row>
    <row r="24" spans="2:14" x14ac:dyDescent="0.25">
      <c r="B24" s="19"/>
      <c r="C24" s="19"/>
      <c r="D24" s="19"/>
      <c r="E24" s="19"/>
      <c r="F24" s="19"/>
      <c r="G24" s="19"/>
      <c r="I24" s="13" t="s">
        <v>79</v>
      </c>
      <c r="J24" s="13"/>
      <c r="K24" s="13"/>
      <c r="L24" s="6" t="s">
        <v>80</v>
      </c>
      <c r="M24" s="18">
        <f>M18+M22</f>
        <v>651.8379121773943</v>
      </c>
      <c r="N24" s="18"/>
    </row>
    <row r="25" spans="2:14" x14ac:dyDescent="0.25">
      <c r="B25" s="13" t="s">
        <v>81</v>
      </c>
      <c r="C25" s="13"/>
      <c r="D25" s="13"/>
      <c r="E25" s="6" t="s">
        <v>82</v>
      </c>
      <c r="F25" s="18">
        <f>(F20-F21)/(F22/SQRT(F23))</f>
        <v>-3.651483716701107</v>
      </c>
      <c r="G25" s="18"/>
      <c r="I25" s="19"/>
      <c r="J25" s="19"/>
      <c r="K25" s="19"/>
      <c r="L25" s="19"/>
      <c r="M25" s="19"/>
      <c r="N25" s="19"/>
    </row>
    <row r="26" spans="2:14" x14ac:dyDescent="0.25">
      <c r="B26" s="13" t="s">
        <v>83</v>
      </c>
      <c r="C26" s="13"/>
      <c r="D26" s="13"/>
      <c r="E26" s="6" t="s">
        <v>84</v>
      </c>
      <c r="F26" s="18">
        <f>_xlfn.NORM.S.INV(F19)</f>
        <v>-2.326347874388028</v>
      </c>
      <c r="G26" s="18"/>
      <c r="I26" s="20" t="s">
        <v>85</v>
      </c>
      <c r="J26" s="20"/>
      <c r="K26" s="20"/>
      <c r="L26" s="7" t="s">
        <v>139</v>
      </c>
      <c r="M26" s="7"/>
      <c r="N26" s="7"/>
    </row>
    <row r="27" spans="2:14" x14ac:dyDescent="0.25">
      <c r="B27" s="13" t="s">
        <v>87</v>
      </c>
      <c r="C27" s="13"/>
      <c r="D27" s="13"/>
      <c r="E27" s="6" t="s">
        <v>88</v>
      </c>
      <c r="F27" s="18">
        <f>_xlfn.NORM.S.DIST(F25,1)</f>
        <v>0.00013039841560136267</v>
      </c>
      <c r="G27" s="18"/>
      <c r="I27" s="19"/>
      <c r="J27" s="19"/>
      <c r="K27" s="19"/>
      <c r="L27" s="7"/>
      <c r="M27" s="7"/>
      <c r="N27" s="7"/>
    </row>
    <row r="28" spans="2:14" x14ac:dyDescent="0.25">
      <c r="B28" s="20" t="s">
        <v>5</v>
      </c>
      <c r="C28" s="20"/>
      <c r="D28" s="20"/>
      <c r="E28" s="7" t="s">
        <v>9</v>
      </c>
      <c r="F28" s="7"/>
      <c r="G28" s="7"/>
      <c r="I28" s="19"/>
      <c r="J28" s="19"/>
      <c r="K28" s="19"/>
      <c r="L28" s="7"/>
      <c r="M28" s="7"/>
      <c r="N28" s="7"/>
    </row>
    <row r="29" spans="2:7" x14ac:dyDescent="0.25">
      <c r="B29" s="19"/>
      <c r="C29" s="19"/>
      <c r="D29" s="19"/>
      <c r="E29" s="19"/>
      <c r="F29" s="19"/>
      <c r="G29" s="19"/>
    </row>
    <row r="30" spans="2:7" x14ac:dyDescent="0.25">
      <c r="B30" s="20" t="s">
        <v>85</v>
      </c>
      <c r="C30" s="20"/>
      <c r="D30" s="20"/>
      <c r="E30" s="7" t="s">
        <v>140</v>
      </c>
      <c r="F30" s="7"/>
      <c r="G30" s="7"/>
    </row>
    <row r="31" spans="2:7" x14ac:dyDescent="0.25">
      <c r="B31" s="19"/>
      <c r="C31" s="19"/>
      <c r="D31" s="19"/>
      <c r="E31" s="7"/>
      <c r="F31" s="7"/>
      <c r="G31" s="7"/>
    </row>
    <row r="32" spans="2:7" x14ac:dyDescent="0.25">
      <c r="B32" s="19"/>
      <c r="C32" s="19"/>
      <c r="D32" s="19"/>
      <c r="E32" s="7"/>
      <c r="F32" s="7"/>
      <c r="G32" s="7"/>
    </row>
  </sheetData>
  <mergeCells count="52">
    <mergeCell ref="B2:N2"/>
    <mergeCell ref="B4:N7"/>
    <mergeCell ref="C9:N10"/>
    <mergeCell ref="C11:N12"/>
    <mergeCell ref="B15:G15"/>
    <mergeCell ref="I15:N15"/>
    <mergeCell ref="B16:D16"/>
    <mergeCell ref="F16:G16"/>
    <mergeCell ref="I16:K16"/>
    <mergeCell ref="M16:N16"/>
    <mergeCell ref="B17:D17"/>
    <mergeCell ref="F17:G17"/>
    <mergeCell ref="I17:K17"/>
    <mergeCell ref="M17:N17"/>
    <mergeCell ref="B18:D18"/>
    <mergeCell ref="F18:G18"/>
    <mergeCell ref="I18:K18"/>
    <mergeCell ref="M18:N18"/>
    <mergeCell ref="B19:D19"/>
    <mergeCell ref="F19:G19"/>
    <mergeCell ref="I19:K19"/>
    <mergeCell ref="M19:N19"/>
    <mergeCell ref="B20:D20"/>
    <mergeCell ref="F20:G20"/>
    <mergeCell ref="I20:K20"/>
    <mergeCell ref="M20:N20"/>
    <mergeCell ref="B21:D21"/>
    <mergeCell ref="F21:G21"/>
    <mergeCell ref="I21:K21"/>
    <mergeCell ref="M21:N21"/>
    <mergeCell ref="B22:D22"/>
    <mergeCell ref="F22:G22"/>
    <mergeCell ref="I22:K22"/>
    <mergeCell ref="M22:N22"/>
    <mergeCell ref="B23:D23"/>
    <mergeCell ref="F23:G23"/>
    <mergeCell ref="I23:K23"/>
    <mergeCell ref="M23:N23"/>
    <mergeCell ref="I24:K24"/>
    <mergeCell ref="M24:N24"/>
    <mergeCell ref="B25:D25"/>
    <mergeCell ref="F25:G25"/>
    <mergeCell ref="B26:D26"/>
    <mergeCell ref="F26:G26"/>
    <mergeCell ref="I26:K26"/>
    <mergeCell ref="L26:N28"/>
    <mergeCell ref="B27:D27"/>
    <mergeCell ref="F27:G27"/>
    <mergeCell ref="B28:D28"/>
    <mergeCell ref="E28:G28"/>
    <mergeCell ref="B30:D30"/>
    <mergeCell ref="E30:G32"/>
  </mergeCells>
  <pageMargins left="0.25" right="0.25" top="0.4" bottom="0.4" header="0.2" footer="0.2"/>
  <pageSetup orientation="landscape"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2"/>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9" t="s">
        <v>30</v>
      </c>
      <c r="C2" s="9"/>
      <c r="D2" s="9"/>
      <c r="E2" s="9"/>
      <c r="F2" s="9"/>
      <c r="G2" s="9"/>
      <c r="H2" s="9"/>
      <c r="I2" s="9"/>
      <c r="J2" s="9"/>
      <c r="K2" s="9"/>
      <c r="L2" s="9"/>
      <c r="M2" s="9"/>
      <c r="N2" s="9"/>
    </row>
    <row r="4" ht="28" customHeight="1" spans="2:14" x14ac:dyDescent="0.25">
      <c r="B4" s="10" t="s">
        <v>141</v>
      </c>
      <c r="C4" s="10"/>
      <c r="D4" s="10"/>
      <c r="E4" s="10"/>
      <c r="F4" s="10"/>
      <c r="G4" s="10"/>
      <c r="H4" s="10"/>
      <c r="I4" s="10"/>
      <c r="J4" s="10"/>
      <c r="K4" s="10"/>
      <c r="L4" s="10"/>
      <c r="M4" s="10"/>
      <c r="N4" s="10"/>
    </row>
    <row r="5" ht="28" customHeight="1" spans="2:14" x14ac:dyDescent="0.25">
      <c r="B5" s="10"/>
      <c r="C5" s="10"/>
      <c r="D5" s="10"/>
      <c r="E5" s="10"/>
      <c r="F5" s="10"/>
      <c r="G5" s="10"/>
      <c r="H5" s="10"/>
      <c r="I5" s="10"/>
      <c r="J5" s="10"/>
      <c r="K5" s="10"/>
      <c r="L5" s="10"/>
      <c r="M5" s="10"/>
      <c r="N5" s="10"/>
    </row>
    <row r="6" ht="28" customHeight="1" spans="2:14" x14ac:dyDescent="0.25">
      <c r="B6" s="10"/>
      <c r="C6" s="10"/>
      <c r="D6" s="10"/>
      <c r="E6" s="10"/>
      <c r="F6" s="10"/>
      <c r="G6" s="10"/>
      <c r="H6" s="10"/>
      <c r="I6" s="10"/>
      <c r="J6" s="10"/>
      <c r="K6" s="10"/>
      <c r="L6" s="10"/>
      <c r="M6" s="10"/>
      <c r="N6" s="10"/>
    </row>
    <row r="7" ht="28" customHeight="1" spans="2:14" x14ac:dyDescent="0.25">
      <c r="B7" s="10"/>
      <c r="C7" s="10"/>
      <c r="D7" s="10"/>
      <c r="E7" s="10"/>
      <c r="F7" s="10"/>
      <c r="G7" s="10"/>
      <c r="H7" s="10"/>
      <c r="I7" s="10"/>
      <c r="J7" s="10"/>
      <c r="K7" s="10"/>
      <c r="L7" s="10"/>
      <c r="M7" s="10"/>
      <c r="N7" s="10"/>
    </row>
    <row r="9" spans="2:14" x14ac:dyDescent="0.25">
      <c r="B9" s="11" t="s">
        <v>46</v>
      </c>
      <c r="C9" s="12" t="s">
        <v>142</v>
      </c>
      <c r="D9" s="12"/>
      <c r="E9" s="12"/>
      <c r="F9" s="12"/>
      <c r="G9" s="12"/>
      <c r="H9" s="12"/>
      <c r="I9" s="12"/>
      <c r="J9" s="12"/>
      <c r="K9" s="12"/>
      <c r="L9" s="12"/>
      <c r="M9" s="12"/>
      <c r="N9" s="12"/>
    </row>
    <row r="10" spans="3:14" x14ac:dyDescent="0.25">
      <c r="C10" s="12"/>
      <c r="D10" s="12"/>
      <c r="E10" s="12"/>
      <c r="F10" s="12"/>
      <c r="G10" s="12"/>
      <c r="H10" s="12"/>
      <c r="I10" s="12"/>
      <c r="J10" s="12"/>
      <c r="K10" s="12"/>
      <c r="L10" s="12"/>
      <c r="M10" s="12"/>
      <c r="N10" s="12"/>
    </row>
    <row r="11" spans="2:14" x14ac:dyDescent="0.25">
      <c r="B11" s="11" t="s">
        <v>48</v>
      </c>
      <c r="C11" s="12" t="s">
        <v>143</v>
      </c>
      <c r="D11" s="12"/>
      <c r="E11" s="12"/>
      <c r="F11" s="12"/>
      <c r="G11" s="12"/>
      <c r="H11" s="12"/>
      <c r="I11" s="12"/>
      <c r="J11" s="12"/>
      <c r="K11" s="12"/>
      <c r="L11" s="12"/>
      <c r="M11" s="12"/>
      <c r="N11" s="12"/>
    </row>
    <row r="12" spans="3:14" x14ac:dyDescent="0.25">
      <c r="C12" s="12"/>
      <c r="D12" s="12"/>
      <c r="E12" s="12"/>
      <c r="F12" s="12"/>
      <c r="G12" s="12"/>
      <c r="H12" s="12"/>
      <c r="I12" s="12"/>
      <c r="J12" s="12"/>
      <c r="K12" s="12"/>
      <c r="L12" s="12"/>
      <c r="M12" s="12"/>
      <c r="N12" s="12"/>
    </row>
    <row r="15" spans="2:14" x14ac:dyDescent="0.25">
      <c r="B15" s="4" t="s">
        <v>50</v>
      </c>
      <c r="C15" s="4"/>
      <c r="D15" s="4"/>
      <c r="E15" s="4"/>
      <c r="F15" s="4"/>
      <c r="G15" s="4"/>
      <c r="I15" s="4" t="s">
        <v>51</v>
      </c>
      <c r="J15" s="4"/>
      <c r="K15" s="4"/>
      <c r="L15" s="4"/>
      <c r="M15" s="4"/>
      <c r="N15" s="4"/>
    </row>
    <row r="16" spans="2:14" x14ac:dyDescent="0.25">
      <c r="B16" s="3" t="s">
        <v>52</v>
      </c>
      <c r="C16" s="3"/>
      <c r="D16" s="3"/>
      <c r="E16" s="3" t="s">
        <v>53</v>
      </c>
      <c r="F16" s="3" t="s">
        <v>54</v>
      </c>
      <c r="G16" s="3"/>
      <c r="I16" s="3" t="s">
        <v>52</v>
      </c>
      <c r="J16" s="3"/>
      <c r="K16" s="3"/>
      <c r="L16" s="3" t="s">
        <v>53</v>
      </c>
      <c r="M16" s="3" t="s">
        <v>54</v>
      </c>
      <c r="N16" s="3"/>
    </row>
    <row r="17" spans="2:14" x14ac:dyDescent="0.25">
      <c r="B17" s="13" t="s">
        <v>55</v>
      </c>
      <c r="C17" s="13"/>
      <c r="D17" s="13"/>
      <c r="E17" s="6" t="s">
        <v>56</v>
      </c>
      <c r="F17" s="14" t="s">
        <v>144</v>
      </c>
      <c r="G17" s="14"/>
      <c r="I17" s="13" t="s">
        <v>58</v>
      </c>
      <c r="J17" s="13"/>
      <c r="K17" s="13"/>
      <c r="L17" s="6" t="s">
        <v>59</v>
      </c>
      <c r="M17" s="15">
        <v>0.99</v>
      </c>
      <c r="N17" s="15"/>
    </row>
    <row r="18" spans="2:14" x14ac:dyDescent="0.25">
      <c r="B18" s="13" t="s">
        <v>60</v>
      </c>
      <c r="C18" s="13"/>
      <c r="D18" s="13"/>
      <c r="E18" s="6" t="s">
        <v>61</v>
      </c>
      <c r="F18" s="14" t="s">
        <v>145</v>
      </c>
      <c r="G18" s="14"/>
      <c r="I18" s="13" t="s">
        <v>63</v>
      </c>
      <c r="J18" s="13"/>
      <c r="K18" s="13"/>
      <c r="L18" s="6" t="s">
        <v>64</v>
      </c>
      <c r="M18" s="16">
        <v>788</v>
      </c>
      <c r="N18" s="16"/>
    </row>
    <row r="19" spans="2:14" x14ac:dyDescent="0.25">
      <c r="B19" s="13" t="s">
        <v>65</v>
      </c>
      <c r="C19" s="13"/>
      <c r="D19" s="13"/>
      <c r="E19" s="6" t="s">
        <v>66</v>
      </c>
      <c r="F19" s="16">
        <v>0.04</v>
      </c>
      <c r="G19" s="16"/>
      <c r="I19" s="13" t="s">
        <v>67</v>
      </c>
      <c r="J19" s="13"/>
      <c r="K19" s="13"/>
      <c r="L19" s="6" t="s">
        <v>95</v>
      </c>
      <c r="M19" s="16">
        <v>40</v>
      </c>
      <c r="N19" s="16"/>
    </row>
    <row r="20" spans="2:14" x14ac:dyDescent="0.25">
      <c r="B20" s="13" t="s">
        <v>63</v>
      </c>
      <c r="C20" s="13"/>
      <c r="D20" s="13"/>
      <c r="E20" s="6" t="s">
        <v>64</v>
      </c>
      <c r="F20" s="16">
        <v>788</v>
      </c>
      <c r="G20" s="16"/>
      <c r="I20" s="13" t="s">
        <v>69</v>
      </c>
      <c r="J20" s="13"/>
      <c r="K20" s="13"/>
      <c r="L20" s="6" t="s">
        <v>70</v>
      </c>
      <c r="M20" s="17">
        <v>300</v>
      </c>
      <c r="N20" s="17"/>
    </row>
    <row r="21" spans="2:14" x14ac:dyDescent="0.25">
      <c r="B21" s="13" t="s">
        <v>71</v>
      </c>
      <c r="C21" s="13"/>
      <c r="D21" s="13"/>
      <c r="E21" s="6" t="s">
        <v>72</v>
      </c>
      <c r="F21" s="16">
        <v>800</v>
      </c>
      <c r="G21" s="16"/>
      <c r="I21" s="13" t="s">
        <v>73</v>
      </c>
      <c r="J21" s="13"/>
      <c r="K21" s="13"/>
      <c r="L21" s="6" t="s">
        <v>74</v>
      </c>
      <c r="M21" s="18">
        <f>_xlfn.NORM.S.INV((1+M17)/2)</f>
        <v>2.5758293064439264</v>
      </c>
      <c r="N21" s="18"/>
    </row>
    <row r="22" spans="2:14" x14ac:dyDescent="0.25">
      <c r="B22" s="13" t="s">
        <v>67</v>
      </c>
      <c r="C22" s="13"/>
      <c r="D22" s="13"/>
      <c r="E22" s="6" t="s">
        <v>95</v>
      </c>
      <c r="F22" s="16">
        <v>40</v>
      </c>
      <c r="G22" s="16"/>
      <c r="I22" s="13" t="s">
        <v>75</v>
      </c>
      <c r="J22" s="13"/>
      <c r="K22" s="13"/>
      <c r="L22" s="6" t="s">
        <v>76</v>
      </c>
      <c r="M22" s="18">
        <f>M21*M19/SQRT(M20)</f>
        <v>5.948622973847711</v>
      </c>
      <c r="N22" s="18"/>
    </row>
    <row r="23" spans="2:14" x14ac:dyDescent="0.25">
      <c r="B23" s="13" t="s">
        <v>69</v>
      </c>
      <c r="C23" s="13"/>
      <c r="D23" s="13"/>
      <c r="E23" s="6" t="s">
        <v>70</v>
      </c>
      <c r="F23" s="17">
        <v>300</v>
      </c>
      <c r="G23" s="17"/>
      <c r="I23" s="13" t="s">
        <v>77</v>
      </c>
      <c r="J23" s="13"/>
      <c r="K23" s="13"/>
      <c r="L23" s="6" t="s">
        <v>78</v>
      </c>
      <c r="M23" s="18">
        <f>M18-M22</f>
        <v>782.0513770261523</v>
      </c>
      <c r="N23" s="18"/>
    </row>
    <row r="24" spans="2:14" x14ac:dyDescent="0.25">
      <c r="B24" s="19"/>
      <c r="C24" s="19"/>
      <c r="D24" s="19"/>
      <c r="E24" s="19"/>
      <c r="F24" s="19"/>
      <c r="G24" s="19"/>
      <c r="I24" s="13" t="s">
        <v>79</v>
      </c>
      <c r="J24" s="13"/>
      <c r="K24" s="13"/>
      <c r="L24" s="6" t="s">
        <v>80</v>
      </c>
      <c r="M24" s="18">
        <f>M18+M22</f>
        <v>793.9486229738477</v>
      </c>
      <c r="N24" s="18"/>
    </row>
    <row r="25" spans="2:14" x14ac:dyDescent="0.25">
      <c r="B25" s="13" t="s">
        <v>81</v>
      </c>
      <c r="C25" s="13"/>
      <c r="D25" s="13"/>
      <c r="E25" s="6" t="s">
        <v>82</v>
      </c>
      <c r="F25" s="18">
        <f>(F20-F21)/(F22/SQRT(F23))</f>
        <v>-5.196152422706632</v>
      </c>
      <c r="G25" s="18"/>
      <c r="I25" s="19"/>
      <c r="J25" s="19"/>
      <c r="K25" s="19"/>
      <c r="L25" s="19"/>
      <c r="M25" s="19"/>
      <c r="N25" s="19"/>
    </row>
    <row r="26" spans="2:14" x14ac:dyDescent="0.25">
      <c r="B26" s="13" t="s">
        <v>83</v>
      </c>
      <c r="C26" s="13"/>
      <c r="D26" s="13"/>
      <c r="E26" s="6" t="s">
        <v>146</v>
      </c>
      <c r="F26" s="18">
        <f>_xlfn.NORM.S.INV(1-F19/2)</f>
        <v>2.053748909003034</v>
      </c>
      <c r="G26" s="18"/>
      <c r="I26" s="20" t="s">
        <v>85</v>
      </c>
      <c r="J26" s="20"/>
      <c r="K26" s="20"/>
      <c r="L26" s="7" t="s">
        <v>147</v>
      </c>
      <c r="M26" s="7"/>
      <c r="N26" s="7"/>
    </row>
    <row r="27" spans="2:14" x14ac:dyDescent="0.25">
      <c r="B27" s="13" t="s">
        <v>87</v>
      </c>
      <c r="C27" s="13"/>
      <c r="D27" s="13"/>
      <c r="E27" s="6" t="s">
        <v>88</v>
      </c>
      <c r="F27" s="18">
        <f>2*(1-_xlfn.NORM.S.DIST(ABS(F25),1))</f>
        <v>2.0384234900028275e-7</v>
      </c>
      <c r="G27" s="18"/>
      <c r="I27" s="19"/>
      <c r="J27" s="19"/>
      <c r="K27" s="19"/>
      <c r="L27" s="7"/>
      <c r="M27" s="7"/>
      <c r="N27" s="7"/>
    </row>
    <row r="28" spans="2:14" x14ac:dyDescent="0.25">
      <c r="B28" s="20" t="s">
        <v>5</v>
      </c>
      <c r="C28" s="20"/>
      <c r="D28" s="20"/>
      <c r="E28" s="7" t="s">
        <v>9</v>
      </c>
      <c r="F28" s="7"/>
      <c r="G28" s="7"/>
      <c r="I28" s="19"/>
      <c r="J28" s="19"/>
      <c r="K28" s="19"/>
      <c r="L28" s="7"/>
      <c r="M28" s="7"/>
      <c r="N28" s="7"/>
    </row>
    <row r="29" spans="2:7" x14ac:dyDescent="0.25">
      <c r="B29" s="19"/>
      <c r="C29" s="19"/>
      <c r="D29" s="19"/>
      <c r="E29" s="19"/>
      <c r="F29" s="19"/>
      <c r="G29" s="19"/>
    </row>
    <row r="30" spans="2:7" x14ac:dyDescent="0.25">
      <c r="B30" s="20" t="s">
        <v>85</v>
      </c>
      <c r="C30" s="20"/>
      <c r="D30" s="20"/>
      <c r="E30" s="7" t="s">
        <v>148</v>
      </c>
      <c r="F30" s="7"/>
      <c r="G30" s="7"/>
    </row>
    <row r="31" spans="2:7" x14ac:dyDescent="0.25">
      <c r="B31" s="19"/>
      <c r="C31" s="19"/>
      <c r="D31" s="19"/>
      <c r="E31" s="7"/>
      <c r="F31" s="7"/>
      <c r="G31" s="7"/>
    </row>
    <row r="32" spans="2:7" x14ac:dyDescent="0.25">
      <c r="B32" s="19"/>
      <c r="C32" s="19"/>
      <c r="D32" s="19"/>
      <c r="E32" s="7"/>
      <c r="F32" s="7"/>
      <c r="G32" s="7"/>
    </row>
  </sheetData>
  <mergeCells count="52">
    <mergeCell ref="B2:N2"/>
    <mergeCell ref="B4:N7"/>
    <mergeCell ref="C9:N10"/>
    <mergeCell ref="C11:N12"/>
    <mergeCell ref="B15:G15"/>
    <mergeCell ref="I15:N15"/>
    <mergeCell ref="B16:D16"/>
    <mergeCell ref="F16:G16"/>
    <mergeCell ref="I16:K16"/>
    <mergeCell ref="M16:N16"/>
    <mergeCell ref="B17:D17"/>
    <mergeCell ref="F17:G17"/>
    <mergeCell ref="I17:K17"/>
    <mergeCell ref="M17:N17"/>
    <mergeCell ref="B18:D18"/>
    <mergeCell ref="F18:G18"/>
    <mergeCell ref="I18:K18"/>
    <mergeCell ref="M18:N18"/>
    <mergeCell ref="B19:D19"/>
    <mergeCell ref="F19:G19"/>
    <mergeCell ref="I19:K19"/>
    <mergeCell ref="M19:N19"/>
    <mergeCell ref="B20:D20"/>
    <mergeCell ref="F20:G20"/>
    <mergeCell ref="I20:K20"/>
    <mergeCell ref="M20:N20"/>
    <mergeCell ref="B21:D21"/>
    <mergeCell ref="F21:G21"/>
    <mergeCell ref="I21:K21"/>
    <mergeCell ref="M21:N21"/>
    <mergeCell ref="B22:D22"/>
    <mergeCell ref="F22:G22"/>
    <mergeCell ref="I22:K22"/>
    <mergeCell ref="M22:N22"/>
    <mergeCell ref="B23:D23"/>
    <mergeCell ref="F23:G23"/>
    <mergeCell ref="I23:K23"/>
    <mergeCell ref="M23:N23"/>
    <mergeCell ref="I24:K24"/>
    <mergeCell ref="M24:N24"/>
    <mergeCell ref="B25:D25"/>
    <mergeCell ref="F25:G25"/>
    <mergeCell ref="B26:D26"/>
    <mergeCell ref="F26:G26"/>
    <mergeCell ref="I26:K26"/>
    <mergeCell ref="L26:N28"/>
    <mergeCell ref="B27:D27"/>
    <mergeCell ref="F27:G27"/>
    <mergeCell ref="B28:D28"/>
    <mergeCell ref="E28:G28"/>
    <mergeCell ref="B30:D30"/>
    <mergeCell ref="E30:G32"/>
  </mergeCells>
  <pageMargins left="0.25" right="0.25" top="0.4" bottom="0.4" header="0.2" footer="0.2"/>
  <pageSetup orientation="landscape"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45"/>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9" t="s">
        <v>33</v>
      </c>
      <c r="C2" s="9"/>
      <c r="D2" s="9"/>
      <c r="E2" s="9"/>
      <c r="F2" s="9"/>
      <c r="G2" s="9"/>
      <c r="H2" s="9"/>
      <c r="I2" s="9"/>
      <c r="J2" s="9"/>
      <c r="K2" s="9"/>
      <c r="L2" s="9"/>
      <c r="M2" s="9"/>
      <c r="N2" s="9"/>
    </row>
    <row r="4" ht="28" customHeight="1" spans="2:14" x14ac:dyDescent="0.25">
      <c r="B4" s="10" t="s">
        <v>149</v>
      </c>
      <c r="C4" s="10"/>
      <c r="D4" s="10"/>
      <c r="E4" s="10"/>
      <c r="F4" s="10"/>
      <c r="G4" s="10"/>
      <c r="H4" s="10"/>
      <c r="I4" s="10"/>
      <c r="J4" s="10"/>
      <c r="K4" s="10"/>
      <c r="L4" s="10"/>
      <c r="M4" s="10"/>
      <c r="N4" s="10"/>
    </row>
    <row r="5" ht="28" customHeight="1" spans="2:14" x14ac:dyDescent="0.25">
      <c r="B5" s="10"/>
      <c r="C5" s="10"/>
      <c r="D5" s="10"/>
      <c r="E5" s="10"/>
      <c r="F5" s="10"/>
      <c r="G5" s="10"/>
      <c r="H5" s="10"/>
      <c r="I5" s="10"/>
      <c r="J5" s="10"/>
      <c r="K5" s="10"/>
      <c r="L5" s="10"/>
      <c r="M5" s="10"/>
      <c r="N5" s="10"/>
    </row>
    <row r="6" ht="28" customHeight="1" spans="2:14" x14ac:dyDescent="0.25">
      <c r="B6" s="10"/>
      <c r="C6" s="10"/>
      <c r="D6" s="10"/>
      <c r="E6" s="10"/>
      <c r="F6" s="10"/>
      <c r="G6" s="10"/>
      <c r="H6" s="10"/>
      <c r="I6" s="10"/>
      <c r="J6" s="10"/>
      <c r="K6" s="10"/>
      <c r="L6" s="10"/>
      <c r="M6" s="10"/>
      <c r="N6" s="10"/>
    </row>
    <row r="7" ht="28" customHeight="1" spans="2:14" x14ac:dyDescent="0.25">
      <c r="B7" s="10"/>
      <c r="C7" s="10"/>
      <c r="D7" s="10"/>
      <c r="E7" s="10"/>
      <c r="F7" s="10"/>
      <c r="G7" s="10"/>
      <c r="H7" s="10"/>
      <c r="I7" s="10"/>
      <c r="J7" s="10"/>
      <c r="K7" s="10"/>
      <c r="L7" s="10"/>
      <c r="M7" s="10"/>
      <c r="N7" s="10"/>
    </row>
    <row r="9" spans="2:14" x14ac:dyDescent="0.25">
      <c r="B9" s="11" t="s">
        <v>46</v>
      </c>
      <c r="C9" s="12" t="s">
        <v>150</v>
      </c>
      <c r="D9" s="12"/>
      <c r="E9" s="12"/>
      <c r="F9" s="12"/>
      <c r="G9" s="12"/>
      <c r="H9" s="12"/>
      <c r="I9" s="12"/>
      <c r="J9" s="12"/>
      <c r="K9" s="12"/>
      <c r="L9" s="12"/>
      <c r="M9" s="12"/>
      <c r="N9" s="12"/>
    </row>
    <row r="10" spans="3:14" x14ac:dyDescent="0.25">
      <c r="C10" s="12"/>
      <c r="D10" s="12"/>
      <c r="E10" s="12"/>
      <c r="F10" s="12"/>
      <c r="G10" s="12"/>
      <c r="H10" s="12"/>
      <c r="I10" s="12"/>
      <c r="J10" s="12"/>
      <c r="K10" s="12"/>
      <c r="L10" s="12"/>
      <c r="M10" s="12"/>
      <c r="N10" s="12"/>
    </row>
    <row r="11" spans="2:14" x14ac:dyDescent="0.25">
      <c r="B11" s="11" t="s">
        <v>48</v>
      </c>
      <c r="C11" s="12" t="s">
        <v>151</v>
      </c>
      <c r="D11" s="12"/>
      <c r="E11" s="12"/>
      <c r="F11" s="12"/>
      <c r="G11" s="12"/>
      <c r="H11" s="12"/>
      <c r="I11" s="12"/>
      <c r="J11" s="12"/>
      <c r="K11" s="12"/>
      <c r="L11" s="12"/>
      <c r="M11" s="12"/>
      <c r="N11" s="12"/>
    </row>
    <row r="12" spans="3:14" x14ac:dyDescent="0.25">
      <c r="C12" s="12"/>
      <c r="D12" s="12"/>
      <c r="E12" s="12"/>
      <c r="F12" s="12"/>
      <c r="G12" s="12"/>
      <c r="H12" s="12"/>
      <c r="I12" s="12"/>
      <c r="J12" s="12"/>
      <c r="K12" s="12"/>
      <c r="L12" s="12"/>
      <c r="M12" s="12"/>
      <c r="N12" s="12"/>
    </row>
    <row r="15" spans="2:14" x14ac:dyDescent="0.25">
      <c r="B15" s="4" t="s">
        <v>50</v>
      </c>
      <c r="C15" s="4"/>
      <c r="D15" s="4"/>
      <c r="E15" s="4"/>
      <c r="F15" s="4"/>
      <c r="G15" s="4"/>
      <c r="I15" s="4" t="s">
        <v>51</v>
      </c>
      <c r="J15" s="4"/>
      <c r="K15" s="4"/>
      <c r="L15" s="4"/>
      <c r="M15" s="4"/>
      <c r="N15" s="4"/>
    </row>
    <row r="16" spans="2:14" x14ac:dyDescent="0.25">
      <c r="B16" s="3" t="s">
        <v>52</v>
      </c>
      <c r="C16" s="3"/>
      <c r="D16" s="3"/>
      <c r="E16" s="3" t="s">
        <v>53</v>
      </c>
      <c r="F16" s="3" t="s">
        <v>54</v>
      </c>
      <c r="G16" s="3"/>
      <c r="I16" s="3" t="s">
        <v>52</v>
      </c>
      <c r="J16" s="3"/>
      <c r="K16" s="3"/>
      <c r="L16" s="3" t="s">
        <v>53</v>
      </c>
      <c r="M16" s="3" t="s">
        <v>54</v>
      </c>
      <c r="N16" s="3"/>
    </row>
    <row r="17" spans="2:14" x14ac:dyDescent="0.25">
      <c r="B17" s="13" t="s">
        <v>55</v>
      </c>
      <c r="C17" s="13"/>
      <c r="D17" s="13"/>
      <c r="E17" s="6" t="s">
        <v>56</v>
      </c>
      <c r="F17" s="14" t="s">
        <v>152</v>
      </c>
      <c r="G17" s="14"/>
      <c r="I17" s="13" t="s">
        <v>58</v>
      </c>
      <c r="J17" s="13"/>
      <c r="K17" s="13"/>
      <c r="L17" s="6" t="s">
        <v>59</v>
      </c>
      <c r="M17" s="15">
        <v>0.95</v>
      </c>
      <c r="N17" s="15"/>
    </row>
    <row r="18" spans="2:14" x14ac:dyDescent="0.25">
      <c r="B18" s="13" t="s">
        <v>60</v>
      </c>
      <c r="C18" s="13"/>
      <c r="D18" s="13"/>
      <c r="E18" s="6" t="s">
        <v>61</v>
      </c>
      <c r="F18" s="14" t="s">
        <v>153</v>
      </c>
      <c r="G18" s="14"/>
      <c r="I18" s="13" t="s">
        <v>63</v>
      </c>
      <c r="J18" s="13"/>
      <c r="K18" s="13"/>
      <c r="L18" s="6" t="s">
        <v>64</v>
      </c>
      <c r="M18" s="16">
        <v>10.06</v>
      </c>
      <c r="N18" s="16"/>
    </row>
    <row r="19" spans="2:14" x14ac:dyDescent="0.25">
      <c r="B19" s="13" t="s">
        <v>65</v>
      </c>
      <c r="C19" s="13"/>
      <c r="D19" s="13"/>
      <c r="E19" s="6" t="s">
        <v>66</v>
      </c>
      <c r="F19" s="16">
        <v>0.01</v>
      </c>
      <c r="G19" s="16"/>
      <c r="I19" s="13" t="s">
        <v>67</v>
      </c>
      <c r="J19" s="13"/>
      <c r="K19" s="13"/>
      <c r="L19" s="6" t="s">
        <v>68</v>
      </c>
      <c r="M19" s="16">
        <v>0.24585451886114376</v>
      </c>
      <c r="N19" s="16"/>
    </row>
    <row r="20" spans="2:14" x14ac:dyDescent="0.25">
      <c r="B20" s="13" t="s">
        <v>63</v>
      </c>
      <c r="C20" s="13"/>
      <c r="D20" s="13"/>
      <c r="E20" s="6" t="s">
        <v>64</v>
      </c>
      <c r="F20" s="16">
        <f>AVERAGE(B36:B45)</f>
        <v>10.06</v>
      </c>
      <c r="G20" s="16"/>
      <c r="I20" s="13" t="s">
        <v>69</v>
      </c>
      <c r="J20" s="13"/>
      <c r="K20" s="13"/>
      <c r="L20" s="6" t="s">
        <v>70</v>
      </c>
      <c r="M20" s="17">
        <v>10</v>
      </c>
      <c r="N20" s="17"/>
    </row>
    <row r="21" spans="2:14" x14ac:dyDescent="0.25">
      <c r="B21" s="13" t="s">
        <v>71</v>
      </c>
      <c r="C21" s="13"/>
      <c r="D21" s="13"/>
      <c r="E21" s="6" t="s">
        <v>72</v>
      </c>
      <c r="F21" s="16">
        <v>10</v>
      </c>
      <c r="G21" s="16"/>
      <c r="I21" s="13" t="s">
        <v>110</v>
      </c>
      <c r="J21" s="13"/>
      <c r="K21" s="13"/>
      <c r="L21" s="6" t="s">
        <v>111</v>
      </c>
      <c r="M21" s="17">
        <v>9</v>
      </c>
      <c r="N21" s="17"/>
    </row>
    <row r="22" spans="2:14" x14ac:dyDescent="0.25">
      <c r="B22" s="13" t="s">
        <v>67</v>
      </c>
      <c r="C22" s="13"/>
      <c r="D22" s="13"/>
      <c r="E22" s="6" t="s">
        <v>68</v>
      </c>
      <c r="F22" s="16">
        <f>STDEV(B36:B45)</f>
        <v>0.24585451886114376</v>
      </c>
      <c r="G22" s="16"/>
      <c r="I22" s="13" t="s">
        <v>112</v>
      </c>
      <c r="J22" s="13"/>
      <c r="K22" s="13"/>
      <c r="L22" s="6" t="s">
        <v>113</v>
      </c>
      <c r="M22" s="18">
        <f>TINV(1-M17,9)</f>
        <v>2.2621571627993955</v>
      </c>
      <c r="N22" s="18"/>
    </row>
    <row r="23" spans="2:14" x14ac:dyDescent="0.25">
      <c r="B23" s="13" t="s">
        <v>69</v>
      </c>
      <c r="C23" s="13"/>
      <c r="D23" s="13"/>
      <c r="E23" s="6" t="s">
        <v>70</v>
      </c>
      <c r="F23" s="17">
        <v>10</v>
      </c>
      <c r="G23" s="17"/>
      <c r="I23" s="13" t="s">
        <v>75</v>
      </c>
      <c r="J23" s="13"/>
      <c r="K23" s="13"/>
      <c r="L23" s="6" t="s">
        <v>76</v>
      </c>
      <c r="M23" s="18">
        <f>M22*M19/SQRT(M20)</f>
        <v>0.1758737279315068</v>
      </c>
      <c r="N23" s="18"/>
    </row>
    <row r="24" spans="2:14" x14ac:dyDescent="0.25">
      <c r="B24" s="13" t="s">
        <v>110</v>
      </c>
      <c r="C24" s="13"/>
      <c r="D24" s="13"/>
      <c r="E24" s="6" t="s">
        <v>111</v>
      </c>
      <c r="F24" s="17">
        <v>9</v>
      </c>
      <c r="G24" s="17"/>
      <c r="I24" s="13" t="s">
        <v>77</v>
      </c>
      <c r="J24" s="13"/>
      <c r="K24" s="13"/>
      <c r="L24" s="6" t="s">
        <v>78</v>
      </c>
      <c r="M24" s="18">
        <f>M18-M23</f>
        <v>9.884126272068494</v>
      </c>
      <c r="N24" s="18"/>
    </row>
    <row r="25" spans="2:14" x14ac:dyDescent="0.25">
      <c r="B25" s="19"/>
      <c r="C25" s="19"/>
      <c r="D25" s="19"/>
      <c r="E25" s="19"/>
      <c r="F25" s="19"/>
      <c r="G25" s="19"/>
      <c r="I25" s="13" t="s">
        <v>79</v>
      </c>
      <c r="J25" s="13"/>
      <c r="K25" s="13"/>
      <c r="L25" s="6" t="s">
        <v>80</v>
      </c>
      <c r="M25" s="18">
        <f>M18+M23</f>
        <v>10.235873727931507</v>
      </c>
      <c r="N25" s="18"/>
    </row>
    <row r="26" spans="2:14" x14ac:dyDescent="0.25">
      <c r="B26" s="13" t="s">
        <v>114</v>
      </c>
      <c r="C26" s="13"/>
      <c r="D26" s="13"/>
      <c r="E26" s="6" t="s">
        <v>115</v>
      </c>
      <c r="F26" s="18">
        <f>(F20-F21)/(F22/SQRT(F23))</f>
        <v>0.7717436331412959</v>
      </c>
      <c r="G26" s="18"/>
      <c r="I26" s="19"/>
      <c r="J26" s="19"/>
      <c r="K26" s="19"/>
      <c r="L26" s="19"/>
      <c r="M26" s="19"/>
      <c r="N26" s="19"/>
    </row>
    <row r="27" spans="2:14" x14ac:dyDescent="0.25">
      <c r="B27" s="13" t="s">
        <v>116</v>
      </c>
      <c r="C27" s="13"/>
      <c r="D27" s="13"/>
      <c r="E27" s="6" t="s">
        <v>117</v>
      </c>
      <c r="F27" s="18">
        <f>TINV(F19,9)</f>
        <v>3.24983554159334</v>
      </c>
      <c r="G27" s="18"/>
      <c r="I27" s="20" t="s">
        <v>85</v>
      </c>
      <c r="J27" s="20"/>
      <c r="K27" s="20"/>
      <c r="L27" s="7" t="s">
        <v>154</v>
      </c>
      <c r="M27" s="7"/>
      <c r="N27" s="7"/>
    </row>
    <row r="28" spans="2:14" x14ac:dyDescent="0.25">
      <c r="B28" s="13" t="s">
        <v>87</v>
      </c>
      <c r="C28" s="13"/>
      <c r="D28" s="13"/>
      <c r="E28" s="6" t="s">
        <v>88</v>
      </c>
      <c r="F28" s="18">
        <f>TDIST(ABS(F26),9,2)</f>
        <v>0.46004898226989877</v>
      </c>
      <c r="G28" s="18"/>
      <c r="I28" s="19"/>
      <c r="J28" s="19"/>
      <c r="K28" s="19"/>
      <c r="L28" s="7"/>
      <c r="M28" s="7"/>
      <c r="N28" s="7"/>
    </row>
    <row r="29" spans="2:14" x14ac:dyDescent="0.25">
      <c r="B29" s="20" t="s">
        <v>5</v>
      </c>
      <c r="C29" s="20"/>
      <c r="D29" s="20"/>
      <c r="E29" s="7" t="s">
        <v>13</v>
      </c>
      <c r="F29" s="7"/>
      <c r="G29" s="7"/>
      <c r="I29" s="19"/>
      <c r="J29" s="19"/>
      <c r="K29" s="19"/>
      <c r="L29" s="7"/>
      <c r="M29" s="7"/>
      <c r="N29" s="7"/>
    </row>
    <row r="30" spans="2:7" x14ac:dyDescent="0.25">
      <c r="B30" s="19"/>
      <c r="C30" s="19"/>
      <c r="D30" s="19"/>
      <c r="E30" s="19"/>
      <c r="F30" s="19"/>
      <c r="G30" s="19"/>
    </row>
    <row r="31" spans="2:7" x14ac:dyDescent="0.25">
      <c r="B31" s="20" t="s">
        <v>85</v>
      </c>
      <c r="C31" s="20"/>
      <c r="D31" s="20"/>
      <c r="E31" s="7" t="s">
        <v>155</v>
      </c>
      <c r="F31" s="7"/>
      <c r="G31" s="7"/>
    </row>
    <row r="32" spans="2:7" x14ac:dyDescent="0.25">
      <c r="B32" s="19"/>
      <c r="C32" s="19"/>
      <c r="D32" s="19"/>
      <c r="E32" s="7"/>
      <c r="F32" s="7"/>
      <c r="G32" s="7"/>
    </row>
    <row r="33" spans="2:7" x14ac:dyDescent="0.25">
      <c r="B33" s="19"/>
      <c r="C33" s="19"/>
      <c r="D33" s="19"/>
      <c r="E33" s="7"/>
      <c r="F33" s="7"/>
      <c r="G33" s="7"/>
    </row>
    <row r="35" spans="2:7" x14ac:dyDescent="0.25">
      <c r="B35" s="20" t="s">
        <v>156</v>
      </c>
      <c r="C35" s="20"/>
      <c r="D35" s="20"/>
      <c r="E35" s="20"/>
      <c r="F35" s="20"/>
      <c r="G35" s="20"/>
    </row>
    <row r="36" spans="2:7" x14ac:dyDescent="0.25">
      <c r="B36" s="21">
        <v>10.2</v>
      </c>
      <c r="C36" s="13" t="s">
        <v>157</v>
      </c>
      <c r="D36" s="13"/>
      <c r="E36" s="13"/>
      <c r="F36" s="13"/>
      <c r="G36" s="13"/>
    </row>
    <row r="37" spans="2:7" x14ac:dyDescent="0.25">
      <c r="B37" s="21">
        <v>9.7</v>
      </c>
      <c r="C37" s="13" t="s">
        <v>158</v>
      </c>
      <c r="D37" s="13"/>
      <c r="E37" s="13"/>
      <c r="F37" s="13"/>
      <c r="G37" s="13"/>
    </row>
    <row r="38" spans="2:7" x14ac:dyDescent="0.25">
      <c r="B38" s="21">
        <v>10.1</v>
      </c>
      <c r="C38" s="13" t="s">
        <v>159</v>
      </c>
      <c r="D38" s="13"/>
      <c r="E38" s="13"/>
      <c r="F38" s="13"/>
      <c r="G38" s="13"/>
    </row>
    <row r="39" spans="2:7" x14ac:dyDescent="0.25">
      <c r="B39" s="21">
        <v>10.3</v>
      </c>
      <c r="C39" s="13" t="s">
        <v>160</v>
      </c>
      <c r="D39" s="13"/>
      <c r="E39" s="13"/>
      <c r="F39" s="13"/>
      <c r="G39" s="13"/>
    </row>
    <row r="40" spans="2:7" x14ac:dyDescent="0.25">
      <c r="B40" s="21">
        <v>10.1</v>
      </c>
      <c r="C40" s="13" t="s">
        <v>161</v>
      </c>
      <c r="D40" s="13"/>
      <c r="E40" s="13"/>
      <c r="F40" s="13"/>
      <c r="G40" s="13"/>
    </row>
    <row r="41" spans="2:7" x14ac:dyDescent="0.25">
      <c r="B41" s="21">
        <v>9.8</v>
      </c>
      <c r="C41" s="13" t="s">
        <v>162</v>
      </c>
      <c r="D41" s="13"/>
      <c r="E41" s="13"/>
      <c r="F41" s="13"/>
      <c r="G41" s="13"/>
    </row>
    <row r="42" spans="2:7" x14ac:dyDescent="0.25">
      <c r="B42" s="21">
        <v>9.9</v>
      </c>
      <c r="C42" s="13" t="s">
        <v>163</v>
      </c>
      <c r="D42" s="13"/>
      <c r="E42" s="13"/>
      <c r="F42" s="13"/>
      <c r="G42" s="13"/>
    </row>
    <row r="43" spans="2:7" x14ac:dyDescent="0.25">
      <c r="B43" s="21">
        <v>10.4</v>
      </c>
      <c r="C43" s="13" t="s">
        <v>164</v>
      </c>
      <c r="D43" s="13"/>
      <c r="E43" s="13"/>
      <c r="F43" s="13"/>
      <c r="G43" s="13"/>
    </row>
    <row r="44" spans="2:7" x14ac:dyDescent="0.25">
      <c r="B44" s="21">
        <v>10.3</v>
      </c>
      <c r="C44" s="13" t="s">
        <v>165</v>
      </c>
      <c r="D44" s="13"/>
      <c r="E44" s="13"/>
      <c r="F44" s="13"/>
      <c r="G44" s="13"/>
    </row>
    <row r="45" spans="2:7" x14ac:dyDescent="0.25">
      <c r="B45" s="21">
        <v>9.8</v>
      </c>
      <c r="C45" s="13" t="s">
        <v>166</v>
      </c>
      <c r="D45" s="13"/>
      <c r="E45" s="13"/>
      <c r="F45" s="13"/>
      <c r="G45" s="13"/>
    </row>
  </sheetData>
  <mergeCells count="67">
    <mergeCell ref="B2:N2"/>
    <mergeCell ref="B4:N7"/>
    <mergeCell ref="C9:N10"/>
    <mergeCell ref="C11:N12"/>
    <mergeCell ref="B15:G15"/>
    <mergeCell ref="I15:N15"/>
    <mergeCell ref="B16:D16"/>
    <mergeCell ref="F16:G16"/>
    <mergeCell ref="I16:K16"/>
    <mergeCell ref="M16:N16"/>
    <mergeCell ref="B17:D17"/>
    <mergeCell ref="F17:G17"/>
    <mergeCell ref="I17:K17"/>
    <mergeCell ref="M17:N17"/>
    <mergeCell ref="B18:D18"/>
    <mergeCell ref="F18:G18"/>
    <mergeCell ref="I18:K18"/>
    <mergeCell ref="M18:N18"/>
    <mergeCell ref="B19:D19"/>
    <mergeCell ref="F19:G19"/>
    <mergeCell ref="I19:K19"/>
    <mergeCell ref="M19:N19"/>
    <mergeCell ref="B20:D20"/>
    <mergeCell ref="F20:G20"/>
    <mergeCell ref="I20:K20"/>
    <mergeCell ref="M20:N20"/>
    <mergeCell ref="B21:D21"/>
    <mergeCell ref="F21:G21"/>
    <mergeCell ref="I21:K21"/>
    <mergeCell ref="M21:N21"/>
    <mergeCell ref="B22:D22"/>
    <mergeCell ref="F22:G22"/>
    <mergeCell ref="I22:K22"/>
    <mergeCell ref="M22:N22"/>
    <mergeCell ref="B23:D23"/>
    <mergeCell ref="F23:G23"/>
    <mergeCell ref="I23:K23"/>
    <mergeCell ref="M23:N23"/>
    <mergeCell ref="B24:D24"/>
    <mergeCell ref="F24:G24"/>
    <mergeCell ref="I24:K24"/>
    <mergeCell ref="M24:N24"/>
    <mergeCell ref="I25:K25"/>
    <mergeCell ref="M25:N25"/>
    <mergeCell ref="B26:D26"/>
    <mergeCell ref="F26:G26"/>
    <mergeCell ref="B27:D27"/>
    <mergeCell ref="F27:G27"/>
    <mergeCell ref="I27:K27"/>
    <mergeCell ref="L27:N29"/>
    <mergeCell ref="B28:D28"/>
    <mergeCell ref="F28:G28"/>
    <mergeCell ref="B29:D29"/>
    <mergeCell ref="E29:G29"/>
    <mergeCell ref="B31:D31"/>
    <mergeCell ref="E31:G33"/>
    <mergeCell ref="B35:G35"/>
    <mergeCell ref="C36:G36"/>
    <mergeCell ref="C37:G37"/>
    <mergeCell ref="C38:G38"/>
    <mergeCell ref="C39:G39"/>
    <mergeCell ref="C40:G40"/>
    <mergeCell ref="C41:G41"/>
    <mergeCell ref="C42:G42"/>
    <mergeCell ref="C43:G43"/>
    <mergeCell ref="C44:G44"/>
    <mergeCell ref="C45:G45"/>
  </mergeCells>
  <pageMargins left="0.25" right="0.25" top="0.4" bottom="0.4" header="0.2" footer="0.2"/>
  <pageSetup orientation="landscape"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55"/>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9" t="s">
        <v>36</v>
      </c>
      <c r="C2" s="9"/>
      <c r="D2" s="9"/>
      <c r="E2" s="9"/>
      <c r="F2" s="9"/>
      <c r="G2" s="9"/>
      <c r="H2" s="9"/>
      <c r="I2" s="9"/>
      <c r="J2" s="9"/>
      <c r="K2" s="9"/>
      <c r="L2" s="9"/>
      <c r="M2" s="9"/>
      <c r="N2" s="9"/>
    </row>
    <row r="4" ht="28" customHeight="1" spans="2:14" x14ac:dyDescent="0.25">
      <c r="B4" s="10" t="s">
        <v>167</v>
      </c>
      <c r="C4" s="10"/>
      <c r="D4" s="10"/>
      <c r="E4" s="10"/>
      <c r="F4" s="10"/>
      <c r="G4" s="10"/>
      <c r="H4" s="10"/>
      <c r="I4" s="10"/>
      <c r="J4" s="10"/>
      <c r="K4" s="10"/>
      <c r="L4" s="10"/>
      <c r="M4" s="10"/>
      <c r="N4" s="10"/>
    </row>
    <row r="5" ht="28" customHeight="1" spans="2:14" x14ac:dyDescent="0.25">
      <c r="B5" s="10"/>
      <c r="C5" s="10"/>
      <c r="D5" s="10"/>
      <c r="E5" s="10"/>
      <c r="F5" s="10"/>
      <c r="G5" s="10"/>
      <c r="H5" s="10"/>
      <c r="I5" s="10"/>
      <c r="J5" s="10"/>
      <c r="K5" s="10"/>
      <c r="L5" s="10"/>
      <c r="M5" s="10"/>
      <c r="N5" s="10"/>
    </row>
    <row r="6" ht="28" customHeight="1" spans="2:14" x14ac:dyDescent="0.25">
      <c r="B6" s="10"/>
      <c r="C6" s="10"/>
      <c r="D6" s="10"/>
      <c r="E6" s="10"/>
      <c r="F6" s="10"/>
      <c r="G6" s="10"/>
      <c r="H6" s="10"/>
      <c r="I6" s="10"/>
      <c r="J6" s="10"/>
      <c r="K6" s="10"/>
      <c r="L6" s="10"/>
      <c r="M6" s="10"/>
      <c r="N6" s="10"/>
    </row>
    <row r="7" ht="28" customHeight="1" spans="2:14" x14ac:dyDescent="0.25">
      <c r="B7" s="10"/>
      <c r="C7" s="10"/>
      <c r="D7" s="10"/>
      <c r="E7" s="10"/>
      <c r="F7" s="10"/>
      <c r="G7" s="10"/>
      <c r="H7" s="10"/>
      <c r="I7" s="10"/>
      <c r="J7" s="10"/>
      <c r="K7" s="10"/>
      <c r="L7" s="10"/>
      <c r="M7" s="10"/>
      <c r="N7" s="10"/>
    </row>
    <row r="9" spans="2:14" x14ac:dyDescent="0.25">
      <c r="B9" s="11" t="s">
        <v>46</v>
      </c>
      <c r="C9" s="12" t="s">
        <v>168</v>
      </c>
      <c r="D9" s="12"/>
      <c r="E9" s="12"/>
      <c r="F9" s="12"/>
      <c r="G9" s="12"/>
      <c r="H9" s="12"/>
      <c r="I9" s="12"/>
      <c r="J9" s="12"/>
      <c r="K9" s="12"/>
      <c r="L9" s="12"/>
      <c r="M9" s="12"/>
      <c r="N9" s="12"/>
    </row>
    <row r="10" spans="3:14" x14ac:dyDescent="0.25">
      <c r="C10" s="12"/>
      <c r="D10" s="12"/>
      <c r="E10" s="12"/>
      <c r="F10" s="12"/>
      <c r="G10" s="12"/>
      <c r="H10" s="12"/>
      <c r="I10" s="12"/>
      <c r="J10" s="12"/>
      <c r="K10" s="12"/>
      <c r="L10" s="12"/>
      <c r="M10" s="12"/>
      <c r="N10" s="12"/>
    </row>
    <row r="11" spans="2:14" x14ac:dyDescent="0.25">
      <c r="B11" s="11" t="s">
        <v>169</v>
      </c>
      <c r="C11" s="12" t="s">
        <v>170</v>
      </c>
      <c r="D11" s="12"/>
      <c r="E11" s="12"/>
      <c r="F11" s="12"/>
      <c r="G11" s="12"/>
      <c r="H11" s="12"/>
      <c r="I11" s="12"/>
      <c r="J11" s="12"/>
      <c r="K11" s="12"/>
      <c r="L11" s="12"/>
      <c r="M11" s="12"/>
      <c r="N11" s="12"/>
    </row>
    <row r="12" spans="3:14" x14ac:dyDescent="0.25">
      <c r="C12" s="12"/>
      <c r="D12" s="12"/>
      <c r="E12" s="12"/>
      <c r="F12" s="12"/>
      <c r="G12" s="12"/>
      <c r="H12" s="12"/>
      <c r="I12" s="12"/>
      <c r="J12" s="12"/>
      <c r="K12" s="12"/>
      <c r="L12" s="12"/>
      <c r="M12" s="12"/>
      <c r="N12" s="12"/>
    </row>
    <row r="15" spans="2:14" x14ac:dyDescent="0.25">
      <c r="B15" s="4" t="s">
        <v>50</v>
      </c>
      <c r="C15" s="4"/>
      <c r="D15" s="4"/>
      <c r="E15" s="4"/>
      <c r="F15" s="4"/>
      <c r="G15" s="4"/>
      <c r="I15" s="4" t="s">
        <v>171</v>
      </c>
      <c r="J15" s="4"/>
      <c r="K15" s="4"/>
      <c r="L15" s="4"/>
      <c r="M15" s="4"/>
      <c r="N15" s="4"/>
    </row>
    <row r="16" spans="2:14" x14ac:dyDescent="0.25">
      <c r="B16" s="3" t="s">
        <v>52</v>
      </c>
      <c r="C16" s="3"/>
      <c r="D16" s="3"/>
      <c r="E16" s="3" t="s">
        <v>53</v>
      </c>
      <c r="F16" s="3" t="s">
        <v>54</v>
      </c>
      <c r="G16" s="3"/>
      <c r="I16" s="3" t="s">
        <v>52</v>
      </c>
      <c r="J16" s="3"/>
      <c r="K16" s="3"/>
      <c r="L16" s="3" t="s">
        <v>53</v>
      </c>
      <c r="M16" s="3" t="s">
        <v>54</v>
      </c>
      <c r="N16" s="3"/>
    </row>
    <row r="17" spans="2:14" x14ac:dyDescent="0.25">
      <c r="B17" s="13" t="s">
        <v>55</v>
      </c>
      <c r="C17" s="13"/>
      <c r="D17" s="13"/>
      <c r="E17" s="6" t="s">
        <v>56</v>
      </c>
      <c r="F17" s="14" t="s">
        <v>172</v>
      </c>
      <c r="G17" s="14"/>
      <c r="I17" s="13" t="s">
        <v>58</v>
      </c>
      <c r="J17" s="13"/>
      <c r="K17" s="13"/>
      <c r="L17" s="6" t="s">
        <v>59</v>
      </c>
      <c r="M17" s="15">
        <v>0.99</v>
      </c>
      <c r="N17" s="15"/>
    </row>
    <row r="18" spans="2:14" x14ac:dyDescent="0.25">
      <c r="B18" s="13" t="s">
        <v>60</v>
      </c>
      <c r="C18" s="13"/>
      <c r="D18" s="13"/>
      <c r="E18" s="6" t="s">
        <v>61</v>
      </c>
      <c r="F18" s="14" t="s">
        <v>173</v>
      </c>
      <c r="G18" s="14"/>
      <c r="I18" s="13" t="s">
        <v>63</v>
      </c>
      <c r="J18" s="13"/>
      <c r="K18" s="13"/>
      <c r="L18" s="6" t="s">
        <v>64</v>
      </c>
      <c r="M18" s="16">
        <v>3</v>
      </c>
      <c r="N18" s="16"/>
    </row>
    <row r="19" spans="2:14" x14ac:dyDescent="0.25">
      <c r="B19" s="13" t="s">
        <v>65</v>
      </c>
      <c r="C19" s="13"/>
      <c r="D19" s="13"/>
      <c r="E19" s="6" t="s">
        <v>66</v>
      </c>
      <c r="F19" s="16">
        <v>0.03</v>
      </c>
      <c r="G19" s="16"/>
      <c r="I19" s="13" t="s">
        <v>67</v>
      </c>
      <c r="J19" s="13"/>
      <c r="K19" s="13"/>
      <c r="L19" s="6" t="s">
        <v>95</v>
      </c>
      <c r="M19" s="16">
        <v>1.2</v>
      </c>
      <c r="N19" s="16"/>
    </row>
    <row r="20" spans="2:14" x14ac:dyDescent="0.25">
      <c r="B20" s="13" t="s">
        <v>63</v>
      </c>
      <c r="C20" s="13"/>
      <c r="D20" s="13"/>
      <c r="E20" s="6" t="s">
        <v>64</v>
      </c>
      <c r="F20" s="16">
        <v>3</v>
      </c>
      <c r="G20" s="16"/>
      <c r="I20" s="13" t="s">
        <v>69</v>
      </c>
      <c r="J20" s="13"/>
      <c r="K20" s="13"/>
      <c r="L20" s="6" t="s">
        <v>70</v>
      </c>
      <c r="M20" s="17">
        <v>35</v>
      </c>
      <c r="N20" s="17"/>
    </row>
    <row r="21" spans="2:14" x14ac:dyDescent="0.25">
      <c r="B21" s="13" t="s">
        <v>71</v>
      </c>
      <c r="C21" s="13"/>
      <c r="D21" s="13"/>
      <c r="E21" s="6" t="s">
        <v>72</v>
      </c>
      <c r="F21" s="16">
        <v>2.5</v>
      </c>
      <c r="G21" s="16"/>
      <c r="I21" s="13" t="s">
        <v>73</v>
      </c>
      <c r="J21" s="13"/>
      <c r="K21" s="13"/>
      <c r="L21" s="6" t="s">
        <v>74</v>
      </c>
      <c r="M21" s="18">
        <f>_xlfn.NORM.S.INV((1+M17)/2)</f>
        <v>2.5758293064439264</v>
      </c>
      <c r="N21" s="18"/>
    </row>
    <row r="22" spans="2:14" x14ac:dyDescent="0.25">
      <c r="B22" s="13" t="s">
        <v>67</v>
      </c>
      <c r="C22" s="13"/>
      <c r="D22" s="13"/>
      <c r="E22" s="6" t="s">
        <v>95</v>
      </c>
      <c r="F22" s="16">
        <v>1.2</v>
      </c>
      <c r="G22" s="16"/>
      <c r="I22" s="13" t="s">
        <v>75</v>
      </c>
      <c r="J22" s="13"/>
      <c r="K22" s="13"/>
      <c r="L22" s="6" t="s">
        <v>76</v>
      </c>
      <c r="M22" s="18">
        <f>M21*M19/SQRT(M20)</f>
        <v>0.5224735434709172</v>
      </c>
      <c r="N22" s="18"/>
    </row>
    <row r="23" spans="2:14" x14ac:dyDescent="0.25">
      <c r="B23" s="13" t="s">
        <v>69</v>
      </c>
      <c r="C23" s="13"/>
      <c r="D23" s="13"/>
      <c r="E23" s="6" t="s">
        <v>70</v>
      </c>
      <c r="F23" s="17">
        <v>35</v>
      </c>
      <c r="G23" s="17"/>
      <c r="I23" s="13" t="s">
        <v>77</v>
      </c>
      <c r="J23" s="13"/>
      <c r="K23" s="13"/>
      <c r="L23" s="6" t="s">
        <v>78</v>
      </c>
      <c r="M23" s="18">
        <f>M18-M22</f>
        <v>2.4775264565290827</v>
      </c>
      <c r="N23" s="18"/>
    </row>
    <row r="24" spans="2:14" x14ac:dyDescent="0.25">
      <c r="B24" s="19"/>
      <c r="C24" s="19"/>
      <c r="D24" s="19"/>
      <c r="E24" s="19"/>
      <c r="F24" s="19"/>
      <c r="G24" s="19"/>
      <c r="I24" s="13" t="s">
        <v>79</v>
      </c>
      <c r="J24" s="13"/>
      <c r="K24" s="13"/>
      <c r="L24" s="6" t="s">
        <v>80</v>
      </c>
      <c r="M24" s="18">
        <f>M18+M22</f>
        <v>3.5224735434709173</v>
      </c>
      <c r="N24" s="18"/>
    </row>
    <row r="25" spans="2:14" x14ac:dyDescent="0.25">
      <c r="B25" s="13" t="s">
        <v>81</v>
      </c>
      <c r="C25" s="13"/>
      <c r="D25" s="13"/>
      <c r="E25" s="6" t="s">
        <v>82</v>
      </c>
      <c r="F25" s="18">
        <f>(F20-F21)/(F22/SQRT(F23))</f>
        <v>2.4650332429581736</v>
      </c>
      <c r="G25" s="18"/>
      <c r="I25" s="19"/>
      <c r="J25" s="19"/>
      <c r="K25" s="19"/>
      <c r="L25" s="19"/>
      <c r="M25" s="19"/>
      <c r="N25" s="19"/>
    </row>
    <row r="26" spans="2:14" x14ac:dyDescent="0.25">
      <c r="B26" s="13" t="s">
        <v>83</v>
      </c>
      <c r="C26" s="13"/>
      <c r="D26" s="13"/>
      <c r="E26" s="6" t="s">
        <v>84</v>
      </c>
      <c r="F26" s="18">
        <f>_xlfn.NORM.S.INV(1-F19)</f>
        <v>1.8807936060361308</v>
      </c>
      <c r="G26" s="18"/>
      <c r="I26" s="20" t="s">
        <v>85</v>
      </c>
      <c r="J26" s="20"/>
      <c r="K26" s="20"/>
      <c r="L26" s="7" t="s">
        <v>174</v>
      </c>
      <c r="M26" s="7"/>
      <c r="N26" s="7"/>
    </row>
    <row r="27" spans="2:14" x14ac:dyDescent="0.25">
      <c r="B27" s="13" t="s">
        <v>87</v>
      </c>
      <c r="C27" s="13"/>
      <c r="D27" s="13"/>
      <c r="E27" s="6" t="s">
        <v>88</v>
      </c>
      <c r="F27" s="18">
        <f>1-_xlfn.NORM.S.DIST(F25,1)</f>
        <v>0.006850034456571286</v>
      </c>
      <c r="G27" s="18"/>
      <c r="I27" s="19"/>
      <c r="J27" s="19"/>
      <c r="K27" s="19"/>
      <c r="L27" s="7"/>
      <c r="M27" s="7"/>
      <c r="N27" s="7"/>
    </row>
    <row r="28" spans="2:14" x14ac:dyDescent="0.25">
      <c r="B28" s="20" t="s">
        <v>5</v>
      </c>
      <c r="C28" s="20"/>
      <c r="D28" s="20"/>
      <c r="E28" s="7" t="s">
        <v>9</v>
      </c>
      <c r="F28" s="7"/>
      <c r="G28" s="7"/>
      <c r="I28" s="19"/>
      <c r="J28" s="19"/>
      <c r="K28" s="19"/>
      <c r="L28" s="7"/>
      <c r="M28" s="7"/>
      <c r="N28" s="7"/>
    </row>
    <row r="29" spans="2:7" x14ac:dyDescent="0.25">
      <c r="B29" s="19"/>
      <c r="C29" s="19"/>
      <c r="D29" s="19"/>
      <c r="E29" s="19"/>
      <c r="F29" s="19"/>
      <c r="G29" s="19"/>
    </row>
    <row r="30" spans="2:14" x14ac:dyDescent="0.25">
      <c r="B30" s="20" t="s">
        <v>85</v>
      </c>
      <c r="C30" s="20"/>
      <c r="D30" s="20"/>
      <c r="E30" s="7" t="s">
        <v>175</v>
      </c>
      <c r="F30" s="7"/>
      <c r="G30" s="7"/>
      <c r="I30" s="4" t="s">
        <v>176</v>
      </c>
      <c r="J30" s="4"/>
      <c r="K30" s="4"/>
      <c r="L30" s="4"/>
      <c r="M30" s="4"/>
      <c r="N30" s="4"/>
    </row>
    <row r="31" spans="2:14" x14ac:dyDescent="0.25">
      <c r="B31" s="19"/>
      <c r="C31" s="19"/>
      <c r="D31" s="19"/>
      <c r="E31" s="7"/>
      <c r="F31" s="7"/>
      <c r="G31" s="7"/>
      <c r="I31" s="3" t="s">
        <v>52</v>
      </c>
      <c r="J31" s="3"/>
      <c r="K31" s="3"/>
      <c r="L31" s="3" t="s">
        <v>53</v>
      </c>
      <c r="M31" s="3" t="s">
        <v>54</v>
      </c>
      <c r="N31" s="3"/>
    </row>
    <row r="32" spans="2:14" x14ac:dyDescent="0.25">
      <c r="B32" s="19"/>
      <c r="C32" s="19"/>
      <c r="D32" s="19"/>
      <c r="E32" s="7"/>
      <c r="F32" s="7"/>
      <c r="G32" s="7"/>
      <c r="I32" s="13" t="s">
        <v>58</v>
      </c>
      <c r="J32" s="13"/>
      <c r="K32" s="13"/>
      <c r="L32" s="6" t="s">
        <v>59</v>
      </c>
      <c r="M32" s="15">
        <v>0.9</v>
      </c>
      <c r="N32" s="15"/>
    </row>
    <row r="33" spans="9:14" x14ac:dyDescent="0.25">
      <c r="I33" s="13" t="s">
        <v>63</v>
      </c>
      <c r="J33" s="13"/>
      <c r="K33" s="13"/>
      <c r="L33" s="6" t="s">
        <v>64</v>
      </c>
      <c r="M33" s="16">
        <v>3</v>
      </c>
      <c r="N33" s="16"/>
    </row>
    <row r="34" spans="9:14" x14ac:dyDescent="0.25">
      <c r="I34" s="13" t="s">
        <v>67</v>
      </c>
      <c r="J34" s="13"/>
      <c r="K34" s="13"/>
      <c r="L34" s="6" t="s">
        <v>95</v>
      </c>
      <c r="M34" s="16">
        <v>1.2</v>
      </c>
      <c r="N34" s="16"/>
    </row>
    <row r="35" spans="9:14" x14ac:dyDescent="0.25">
      <c r="I35" s="13" t="s">
        <v>69</v>
      </c>
      <c r="J35" s="13"/>
      <c r="K35" s="13"/>
      <c r="L35" s="6" t="s">
        <v>70</v>
      </c>
      <c r="M35" s="17">
        <v>35</v>
      </c>
      <c r="N35" s="17"/>
    </row>
    <row r="36" spans="9:14" x14ac:dyDescent="0.25">
      <c r="I36" s="13" t="s">
        <v>73</v>
      </c>
      <c r="J36" s="13"/>
      <c r="K36" s="13"/>
      <c r="L36" s="6" t="s">
        <v>74</v>
      </c>
      <c r="M36" s="18">
        <f>_xlfn.NORM.S.INV((1+M32)/2)</f>
        <v>1.644853625133699</v>
      </c>
      <c r="N36" s="18"/>
    </row>
    <row r="37" spans="9:14" x14ac:dyDescent="0.25">
      <c r="I37" s="13" t="s">
        <v>75</v>
      </c>
      <c r="J37" s="13"/>
      <c r="K37" s="13"/>
      <c r="L37" s="6" t="s">
        <v>76</v>
      </c>
      <c r="M37" s="18">
        <f>M36*M34/SQRT(M35)</f>
        <v>0.33363720952496884</v>
      </c>
      <c r="N37" s="18"/>
    </row>
    <row r="38" spans="9:14" x14ac:dyDescent="0.25">
      <c r="I38" s="13" t="s">
        <v>77</v>
      </c>
      <c r="J38" s="13"/>
      <c r="K38" s="13"/>
      <c r="L38" s="6" t="s">
        <v>78</v>
      </c>
      <c r="M38" s="18">
        <f>M33-M37</f>
        <v>2.666362790475031</v>
      </c>
      <c r="N38" s="18"/>
    </row>
    <row r="39" spans="9:14" x14ac:dyDescent="0.25">
      <c r="I39" s="13" t="s">
        <v>79</v>
      </c>
      <c r="J39" s="13"/>
      <c r="K39" s="13"/>
      <c r="L39" s="6" t="s">
        <v>80</v>
      </c>
      <c r="M39" s="18">
        <f>M33+M37</f>
        <v>3.333637209524969</v>
      </c>
      <c r="N39" s="18"/>
    </row>
    <row r="40" spans="9:14" x14ac:dyDescent="0.25">
      <c r="I40" s="19"/>
      <c r="J40" s="19"/>
      <c r="K40" s="19"/>
      <c r="L40" s="19"/>
      <c r="M40" s="19"/>
      <c r="N40" s="19"/>
    </row>
    <row r="41" spans="9:14" x14ac:dyDescent="0.25">
      <c r="I41" s="20" t="s">
        <v>85</v>
      </c>
      <c r="J41" s="20"/>
      <c r="K41" s="20"/>
      <c r="L41" s="7" t="s">
        <v>177</v>
      </c>
      <c r="M41" s="7"/>
      <c r="N41" s="7"/>
    </row>
    <row r="42" spans="9:14" x14ac:dyDescent="0.25">
      <c r="I42" s="19"/>
      <c r="J42" s="19"/>
      <c r="K42" s="19"/>
      <c r="L42" s="7"/>
      <c r="M42" s="7"/>
      <c r="N42" s="7"/>
    </row>
    <row r="43" spans="9:14" x14ac:dyDescent="0.25">
      <c r="I43" s="19"/>
      <c r="J43" s="19"/>
      <c r="K43" s="19"/>
      <c r="L43" s="7"/>
      <c r="M43" s="7"/>
      <c r="N43" s="7"/>
    </row>
    <row r="45" spans="9:14" x14ac:dyDescent="0.25">
      <c r="I45" s="4" t="s">
        <v>178</v>
      </c>
      <c r="J45" s="4"/>
      <c r="K45" s="4"/>
      <c r="L45" s="4"/>
      <c r="M45" s="4"/>
      <c r="N45" s="4"/>
    </row>
    <row r="46" spans="9:14" x14ac:dyDescent="0.25">
      <c r="I46" s="13" t="s">
        <v>58</v>
      </c>
      <c r="J46" s="13"/>
      <c r="K46" s="13"/>
      <c r="L46" s="6" t="s">
        <v>59</v>
      </c>
      <c r="M46" s="22">
        <v>0.95</v>
      </c>
      <c r="N46" s="22"/>
    </row>
    <row r="47" spans="9:14" x14ac:dyDescent="0.25">
      <c r="I47" s="13" t="s">
        <v>73</v>
      </c>
      <c r="J47" s="13"/>
      <c r="K47" s="13"/>
      <c r="L47" s="6" t="s">
        <v>74</v>
      </c>
      <c r="M47" s="18">
        <f>_xlfn.NORM.S.INV((1+M46)/2)</f>
        <v>1.959963986120195</v>
      </c>
      <c r="N47" s="18"/>
    </row>
    <row r="48" spans="9:14" x14ac:dyDescent="0.25">
      <c r="I48" s="13" t="s">
        <v>67</v>
      </c>
      <c r="J48" s="13"/>
      <c r="K48" s="13"/>
      <c r="L48" s="6" t="s">
        <v>95</v>
      </c>
      <c r="M48" s="16">
        <v>1.2</v>
      </c>
      <c r="N48" s="16"/>
    </row>
    <row r="49" spans="9:14" x14ac:dyDescent="0.25">
      <c r="I49" s="13" t="s">
        <v>179</v>
      </c>
      <c r="J49" s="13"/>
      <c r="K49" s="13"/>
      <c r="L49" s="6" t="s">
        <v>76</v>
      </c>
      <c r="M49" s="16">
        <v>0.5</v>
      </c>
      <c r="N49" s="16"/>
    </row>
    <row r="50" spans="9:14" x14ac:dyDescent="0.25">
      <c r="I50" s="13" t="s">
        <v>180</v>
      </c>
      <c r="J50" s="13"/>
      <c r="K50" s="13"/>
      <c r="L50" s="6" t="s">
        <v>70</v>
      </c>
      <c r="M50" s="18">
        <f>(M47*M48/M49)^2</f>
        <v>22.126802842875822</v>
      </c>
      <c r="N50" s="18"/>
    </row>
    <row r="51" spans="9:14" x14ac:dyDescent="0.25">
      <c r="I51" s="13" t="s">
        <v>181</v>
      </c>
      <c r="J51" s="13"/>
      <c r="K51" s="13"/>
      <c r="L51" s="6" t="s">
        <v>70</v>
      </c>
      <c r="M51" s="17">
        <v>23</v>
      </c>
      <c r="N51" s="17"/>
    </row>
    <row r="52" spans="9:14" x14ac:dyDescent="0.25">
      <c r="I52" s="19"/>
      <c r="J52" s="19"/>
      <c r="K52" s="19"/>
      <c r="L52" s="19"/>
      <c r="M52" s="19"/>
      <c r="N52" s="19"/>
    </row>
    <row r="53" spans="9:14" x14ac:dyDescent="0.25">
      <c r="I53" s="20" t="s">
        <v>85</v>
      </c>
      <c r="J53" s="20"/>
      <c r="K53" s="20"/>
      <c r="L53" s="7" t="s">
        <v>182</v>
      </c>
      <c r="M53" s="7"/>
      <c r="N53" s="7"/>
    </row>
    <row r="54" spans="9:14" x14ac:dyDescent="0.25">
      <c r="I54" s="19"/>
      <c r="J54" s="19"/>
      <c r="K54" s="19"/>
      <c r="L54" s="7"/>
      <c r="M54" s="7"/>
      <c r="N54" s="7"/>
    </row>
    <row r="55" spans="9:14" x14ac:dyDescent="0.25">
      <c r="I55" s="19"/>
      <c r="J55" s="19"/>
      <c r="K55" s="19"/>
      <c r="L55" s="7"/>
      <c r="M55" s="7"/>
      <c r="N55" s="7"/>
    </row>
  </sheetData>
  <mergeCells count="88">
    <mergeCell ref="B2:N2"/>
    <mergeCell ref="B4:N7"/>
    <mergeCell ref="C9:N10"/>
    <mergeCell ref="C11:N12"/>
    <mergeCell ref="B15:G15"/>
    <mergeCell ref="I15:N15"/>
    <mergeCell ref="B16:D16"/>
    <mergeCell ref="F16:G16"/>
    <mergeCell ref="I16:K16"/>
    <mergeCell ref="M16:N16"/>
    <mergeCell ref="B17:D17"/>
    <mergeCell ref="F17:G17"/>
    <mergeCell ref="I17:K17"/>
    <mergeCell ref="M17:N17"/>
    <mergeCell ref="B18:D18"/>
    <mergeCell ref="F18:G18"/>
    <mergeCell ref="I18:K18"/>
    <mergeCell ref="M18:N18"/>
    <mergeCell ref="B19:D19"/>
    <mergeCell ref="F19:G19"/>
    <mergeCell ref="I19:K19"/>
    <mergeCell ref="M19:N19"/>
    <mergeCell ref="B20:D20"/>
    <mergeCell ref="F20:G20"/>
    <mergeCell ref="I20:K20"/>
    <mergeCell ref="M20:N20"/>
    <mergeCell ref="B21:D21"/>
    <mergeCell ref="F21:G21"/>
    <mergeCell ref="I21:K21"/>
    <mergeCell ref="M21:N21"/>
    <mergeCell ref="B22:D22"/>
    <mergeCell ref="F22:G22"/>
    <mergeCell ref="I22:K22"/>
    <mergeCell ref="M22:N22"/>
    <mergeCell ref="B23:D23"/>
    <mergeCell ref="F23:G23"/>
    <mergeCell ref="I23:K23"/>
    <mergeCell ref="M23:N23"/>
    <mergeCell ref="I24:K24"/>
    <mergeCell ref="M24:N24"/>
    <mergeCell ref="B25:D25"/>
    <mergeCell ref="F25:G25"/>
    <mergeCell ref="B26:D26"/>
    <mergeCell ref="F26:G26"/>
    <mergeCell ref="I26:K26"/>
    <mergeCell ref="L26:N28"/>
    <mergeCell ref="B27:D27"/>
    <mergeCell ref="F27:G27"/>
    <mergeCell ref="B28:D28"/>
    <mergeCell ref="E28:G28"/>
    <mergeCell ref="B30:D30"/>
    <mergeCell ref="E30:G32"/>
    <mergeCell ref="I30:N30"/>
    <mergeCell ref="I31:K31"/>
    <mergeCell ref="M31:N31"/>
    <mergeCell ref="I32:K32"/>
    <mergeCell ref="M32:N32"/>
    <mergeCell ref="I33:K33"/>
    <mergeCell ref="M33:N33"/>
    <mergeCell ref="I34:K34"/>
    <mergeCell ref="M34:N34"/>
    <mergeCell ref="I35:K35"/>
    <mergeCell ref="M35:N35"/>
    <mergeCell ref="I36:K36"/>
    <mergeCell ref="M36:N36"/>
    <mergeCell ref="I37:K37"/>
    <mergeCell ref="M37:N37"/>
    <mergeCell ref="I38:K38"/>
    <mergeCell ref="M38:N38"/>
    <mergeCell ref="I39:K39"/>
    <mergeCell ref="M39:N39"/>
    <mergeCell ref="I41:K41"/>
    <mergeCell ref="L41:N43"/>
    <mergeCell ref="I45:N45"/>
    <mergeCell ref="I46:K46"/>
    <mergeCell ref="M46:N46"/>
    <mergeCell ref="I47:K47"/>
    <mergeCell ref="M47:N47"/>
    <mergeCell ref="I48:K48"/>
    <mergeCell ref="M48:N48"/>
    <mergeCell ref="I49:K49"/>
    <mergeCell ref="M49:N49"/>
    <mergeCell ref="I50:K50"/>
    <mergeCell ref="M50:N50"/>
    <mergeCell ref="I51:K51"/>
    <mergeCell ref="M51:N51"/>
    <mergeCell ref="I53:K53"/>
    <mergeCell ref="L53:N55"/>
  </mergeCells>
  <pageMargins left="0.25" right="0.25" top="0.4" bottom="0.4" header="0.2" footer="0.2"/>
  <pageSetup orientation="landscape"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2"/>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9" t="s">
        <v>39</v>
      </c>
      <c r="C2" s="9"/>
      <c r="D2" s="9"/>
      <c r="E2" s="9"/>
      <c r="F2" s="9"/>
      <c r="G2" s="9"/>
      <c r="H2" s="9"/>
      <c r="I2" s="9"/>
      <c r="J2" s="9"/>
      <c r="K2" s="9"/>
      <c r="L2" s="9"/>
      <c r="M2" s="9"/>
      <c r="N2" s="9"/>
    </row>
    <row r="4" ht="28" customHeight="1" spans="2:14" x14ac:dyDescent="0.25">
      <c r="B4" s="10" t="s">
        <v>183</v>
      </c>
      <c r="C4" s="10"/>
      <c r="D4" s="10"/>
      <c r="E4" s="10"/>
      <c r="F4" s="10"/>
      <c r="G4" s="10"/>
      <c r="H4" s="10"/>
      <c r="I4" s="10"/>
      <c r="J4" s="10"/>
      <c r="K4" s="10"/>
      <c r="L4" s="10"/>
      <c r="M4" s="10"/>
      <c r="N4" s="10"/>
    </row>
    <row r="5" ht="28" customHeight="1" spans="2:14" x14ac:dyDescent="0.25">
      <c r="B5" s="10"/>
      <c r="C5" s="10"/>
      <c r="D5" s="10"/>
      <c r="E5" s="10"/>
      <c r="F5" s="10"/>
      <c r="G5" s="10"/>
      <c r="H5" s="10"/>
      <c r="I5" s="10"/>
      <c r="J5" s="10"/>
      <c r="K5" s="10"/>
      <c r="L5" s="10"/>
      <c r="M5" s="10"/>
      <c r="N5" s="10"/>
    </row>
    <row r="6" ht="28" customHeight="1" spans="2:14" x14ac:dyDescent="0.25">
      <c r="B6" s="10"/>
      <c r="C6" s="10"/>
      <c r="D6" s="10"/>
      <c r="E6" s="10"/>
      <c r="F6" s="10"/>
      <c r="G6" s="10"/>
      <c r="H6" s="10"/>
      <c r="I6" s="10"/>
      <c r="J6" s="10"/>
      <c r="K6" s="10"/>
      <c r="L6" s="10"/>
      <c r="M6" s="10"/>
      <c r="N6" s="10"/>
    </row>
    <row r="7" ht="28" customHeight="1" spans="2:14" x14ac:dyDescent="0.25">
      <c r="B7" s="10"/>
      <c r="C7" s="10"/>
      <c r="D7" s="10"/>
      <c r="E7" s="10"/>
      <c r="F7" s="10"/>
      <c r="G7" s="10"/>
      <c r="H7" s="10"/>
      <c r="I7" s="10"/>
      <c r="J7" s="10"/>
      <c r="K7" s="10"/>
      <c r="L7" s="10"/>
      <c r="M7" s="10"/>
      <c r="N7" s="10"/>
    </row>
    <row r="9" spans="2:14" x14ac:dyDescent="0.25">
      <c r="B9" s="11" t="s">
        <v>46</v>
      </c>
      <c r="C9" s="12" t="s">
        <v>184</v>
      </c>
      <c r="D9" s="12"/>
      <c r="E9" s="12"/>
      <c r="F9" s="12"/>
      <c r="G9" s="12"/>
      <c r="H9" s="12"/>
      <c r="I9" s="12"/>
      <c r="J9" s="12"/>
      <c r="K9" s="12"/>
      <c r="L9" s="12"/>
      <c r="M9" s="12"/>
      <c r="N9" s="12"/>
    </row>
    <row r="10" spans="3:14" x14ac:dyDescent="0.25">
      <c r="C10" s="12"/>
      <c r="D10" s="12"/>
      <c r="E10" s="12"/>
      <c r="F10" s="12"/>
      <c r="G10" s="12"/>
      <c r="H10" s="12"/>
      <c r="I10" s="12"/>
      <c r="J10" s="12"/>
      <c r="K10" s="12"/>
      <c r="L10" s="12"/>
      <c r="M10" s="12"/>
      <c r="N10" s="12"/>
    </row>
    <row r="11" spans="2:14" x14ac:dyDescent="0.25">
      <c r="B11" s="11" t="s">
        <v>48</v>
      </c>
      <c r="C11" s="12" t="s">
        <v>185</v>
      </c>
      <c r="D11" s="12"/>
      <c r="E11" s="12"/>
      <c r="F11" s="12"/>
      <c r="G11" s="12"/>
      <c r="H11" s="12"/>
      <c r="I11" s="12"/>
      <c r="J11" s="12"/>
      <c r="K11" s="12"/>
      <c r="L11" s="12"/>
      <c r="M11" s="12"/>
      <c r="N11" s="12"/>
    </row>
    <row r="12" spans="3:14" x14ac:dyDescent="0.25">
      <c r="C12" s="12"/>
      <c r="D12" s="12"/>
      <c r="E12" s="12"/>
      <c r="F12" s="12"/>
      <c r="G12" s="12"/>
      <c r="H12" s="12"/>
      <c r="I12" s="12"/>
      <c r="J12" s="12"/>
      <c r="K12" s="12"/>
      <c r="L12" s="12"/>
      <c r="M12" s="12"/>
      <c r="N12" s="12"/>
    </row>
    <row r="15" spans="2:14" x14ac:dyDescent="0.25">
      <c r="B15" s="4" t="s">
        <v>50</v>
      </c>
      <c r="C15" s="4"/>
      <c r="D15" s="4"/>
      <c r="E15" s="4"/>
      <c r="F15" s="4"/>
      <c r="G15" s="4"/>
      <c r="I15" s="4" t="s">
        <v>51</v>
      </c>
      <c r="J15" s="4"/>
      <c r="K15" s="4"/>
      <c r="L15" s="4"/>
      <c r="M15" s="4"/>
      <c r="N15" s="4"/>
    </row>
    <row r="16" spans="2:14" x14ac:dyDescent="0.25">
      <c r="B16" s="3" t="s">
        <v>52</v>
      </c>
      <c r="C16" s="3"/>
      <c r="D16" s="3"/>
      <c r="E16" s="3" t="s">
        <v>53</v>
      </c>
      <c r="F16" s="3" t="s">
        <v>54</v>
      </c>
      <c r="G16" s="3"/>
      <c r="I16" s="3" t="s">
        <v>52</v>
      </c>
      <c r="J16" s="3"/>
      <c r="K16" s="3"/>
      <c r="L16" s="3" t="s">
        <v>53</v>
      </c>
      <c r="M16" s="3" t="s">
        <v>54</v>
      </c>
      <c r="N16" s="3"/>
    </row>
    <row r="17" spans="2:14" x14ac:dyDescent="0.25">
      <c r="B17" s="13" t="s">
        <v>55</v>
      </c>
      <c r="C17" s="13"/>
      <c r="D17" s="13"/>
      <c r="E17" s="6" t="s">
        <v>56</v>
      </c>
      <c r="F17" s="14" t="s">
        <v>186</v>
      </c>
      <c r="G17" s="14"/>
      <c r="I17" s="13" t="s">
        <v>58</v>
      </c>
      <c r="J17" s="13"/>
      <c r="K17" s="13"/>
      <c r="L17" s="6" t="s">
        <v>59</v>
      </c>
      <c r="M17" s="15">
        <v>0.98</v>
      </c>
      <c r="N17" s="15"/>
    </row>
    <row r="18" spans="2:14" x14ac:dyDescent="0.25">
      <c r="B18" s="13" t="s">
        <v>60</v>
      </c>
      <c r="C18" s="13"/>
      <c r="D18" s="13"/>
      <c r="E18" s="6" t="s">
        <v>61</v>
      </c>
      <c r="F18" s="14" t="s">
        <v>187</v>
      </c>
      <c r="G18" s="14"/>
      <c r="I18" s="13" t="s">
        <v>63</v>
      </c>
      <c r="J18" s="13"/>
      <c r="K18" s="13"/>
      <c r="L18" s="6" t="s">
        <v>64</v>
      </c>
      <c r="M18" s="16">
        <v>22.4</v>
      </c>
      <c r="N18" s="16"/>
    </row>
    <row r="19" spans="2:14" x14ac:dyDescent="0.25">
      <c r="B19" s="13" t="s">
        <v>65</v>
      </c>
      <c r="C19" s="13"/>
      <c r="D19" s="13"/>
      <c r="E19" s="6" t="s">
        <v>66</v>
      </c>
      <c r="F19" s="16">
        <v>0.05</v>
      </c>
      <c r="G19" s="16"/>
      <c r="I19" s="13" t="s">
        <v>67</v>
      </c>
      <c r="J19" s="13"/>
      <c r="K19" s="13"/>
      <c r="L19" s="6" t="s">
        <v>68</v>
      </c>
      <c r="M19" s="16">
        <v>5</v>
      </c>
      <c r="N19" s="16"/>
    </row>
    <row r="20" spans="2:14" x14ac:dyDescent="0.25">
      <c r="B20" s="13" t="s">
        <v>63</v>
      </c>
      <c r="C20" s="13"/>
      <c r="D20" s="13"/>
      <c r="E20" s="6" t="s">
        <v>64</v>
      </c>
      <c r="F20" s="16">
        <v>22.4</v>
      </c>
      <c r="G20" s="16"/>
      <c r="I20" s="13" t="s">
        <v>69</v>
      </c>
      <c r="J20" s="13"/>
      <c r="K20" s="13"/>
      <c r="L20" s="6" t="s">
        <v>70</v>
      </c>
      <c r="M20" s="17">
        <v>36</v>
      </c>
      <c r="N20" s="17"/>
    </row>
    <row r="21" spans="2:14" x14ac:dyDescent="0.25">
      <c r="B21" s="13" t="s">
        <v>71</v>
      </c>
      <c r="C21" s="13"/>
      <c r="D21" s="13"/>
      <c r="E21" s="6" t="s">
        <v>72</v>
      </c>
      <c r="F21" s="16">
        <v>23</v>
      </c>
      <c r="G21" s="16"/>
      <c r="I21" s="13" t="s">
        <v>73</v>
      </c>
      <c r="J21" s="13"/>
      <c r="K21" s="13"/>
      <c r="L21" s="6" t="s">
        <v>74</v>
      </c>
      <c r="M21" s="18">
        <f>_xlfn.NORM.S.INV((1+M17)/2)</f>
        <v>2.326347874388028</v>
      </c>
      <c r="N21" s="18"/>
    </row>
    <row r="22" spans="2:14" x14ac:dyDescent="0.25">
      <c r="B22" s="13" t="s">
        <v>67</v>
      </c>
      <c r="C22" s="13"/>
      <c r="D22" s="13"/>
      <c r="E22" s="6" t="s">
        <v>68</v>
      </c>
      <c r="F22" s="16">
        <v>5</v>
      </c>
      <c r="G22" s="16"/>
      <c r="I22" s="13" t="s">
        <v>75</v>
      </c>
      <c r="J22" s="13"/>
      <c r="K22" s="13"/>
      <c r="L22" s="6" t="s">
        <v>76</v>
      </c>
      <c r="M22" s="18">
        <f>M21*M19/SQRT(M20)</f>
        <v>1.9386232286566898</v>
      </c>
      <c r="N22" s="18"/>
    </row>
    <row r="23" spans="2:14" x14ac:dyDescent="0.25">
      <c r="B23" s="13" t="s">
        <v>69</v>
      </c>
      <c r="C23" s="13"/>
      <c r="D23" s="13"/>
      <c r="E23" s="6" t="s">
        <v>70</v>
      </c>
      <c r="F23" s="17">
        <v>36</v>
      </c>
      <c r="G23" s="17"/>
      <c r="I23" s="13" t="s">
        <v>77</v>
      </c>
      <c r="J23" s="13"/>
      <c r="K23" s="13"/>
      <c r="L23" s="6" t="s">
        <v>78</v>
      </c>
      <c r="M23" s="18">
        <f>M18-M22</f>
        <v>20.46137677134331</v>
      </c>
      <c r="N23" s="18"/>
    </row>
    <row r="24" spans="2:14" x14ac:dyDescent="0.25">
      <c r="B24" s="19"/>
      <c r="C24" s="19"/>
      <c r="D24" s="19"/>
      <c r="E24" s="19"/>
      <c r="F24" s="19"/>
      <c r="G24" s="19"/>
      <c r="I24" s="13" t="s">
        <v>79</v>
      </c>
      <c r="J24" s="13"/>
      <c r="K24" s="13"/>
      <c r="L24" s="6" t="s">
        <v>80</v>
      </c>
      <c r="M24" s="18">
        <f>M18+M22</f>
        <v>24.338623228656687</v>
      </c>
      <c r="N24" s="18"/>
    </row>
    <row r="25" spans="2:14" x14ac:dyDescent="0.25">
      <c r="B25" s="13" t="s">
        <v>81</v>
      </c>
      <c r="C25" s="13"/>
      <c r="D25" s="13"/>
      <c r="E25" s="6" t="s">
        <v>82</v>
      </c>
      <c r="F25" s="18">
        <f>(F20-F21)/(F22/SQRT(F23))</f>
        <v>-0.7200000000000016</v>
      </c>
      <c r="G25" s="18"/>
      <c r="I25" s="19"/>
      <c r="J25" s="19"/>
      <c r="K25" s="19"/>
      <c r="L25" s="19"/>
      <c r="M25" s="19"/>
      <c r="N25" s="19"/>
    </row>
    <row r="26" spans="2:14" x14ac:dyDescent="0.25">
      <c r="B26" s="13" t="s">
        <v>83</v>
      </c>
      <c r="C26" s="13"/>
      <c r="D26" s="13"/>
      <c r="E26" s="6" t="s">
        <v>146</v>
      </c>
      <c r="F26" s="18">
        <f>_xlfn.NORM.S.INV(1-F19/2)</f>
        <v>1.959963986120195</v>
      </c>
      <c r="G26" s="18"/>
      <c r="I26" s="20" t="s">
        <v>85</v>
      </c>
      <c r="J26" s="20"/>
      <c r="K26" s="20"/>
      <c r="L26" s="7" t="s">
        <v>188</v>
      </c>
      <c r="M26" s="7"/>
      <c r="N26" s="7"/>
    </row>
    <row r="27" spans="2:14" x14ac:dyDescent="0.25">
      <c r="B27" s="13" t="s">
        <v>87</v>
      </c>
      <c r="C27" s="13"/>
      <c r="D27" s="13"/>
      <c r="E27" s="6" t="s">
        <v>88</v>
      </c>
      <c r="F27" s="18">
        <f>2*(1-_xlfn.NORM.S.DIST(ABS(F25),1))</f>
        <v>0.4715248567295378</v>
      </c>
      <c r="G27" s="18"/>
      <c r="I27" s="19"/>
      <c r="J27" s="19"/>
      <c r="K27" s="19"/>
      <c r="L27" s="7"/>
      <c r="M27" s="7"/>
      <c r="N27" s="7"/>
    </row>
    <row r="28" spans="2:14" x14ac:dyDescent="0.25">
      <c r="B28" s="20" t="s">
        <v>5</v>
      </c>
      <c r="C28" s="20"/>
      <c r="D28" s="20"/>
      <c r="E28" s="7" t="s">
        <v>13</v>
      </c>
      <c r="F28" s="7"/>
      <c r="G28" s="7"/>
      <c r="I28" s="19"/>
      <c r="J28" s="19"/>
      <c r="K28" s="19"/>
      <c r="L28" s="7"/>
      <c r="M28" s="7"/>
      <c r="N28" s="7"/>
    </row>
    <row r="29" spans="2:7" x14ac:dyDescent="0.25">
      <c r="B29" s="19"/>
      <c r="C29" s="19"/>
      <c r="D29" s="19"/>
      <c r="E29" s="19"/>
      <c r="F29" s="19"/>
      <c r="G29" s="19"/>
    </row>
    <row r="30" spans="2:7" x14ac:dyDescent="0.25">
      <c r="B30" s="20" t="s">
        <v>85</v>
      </c>
      <c r="C30" s="20"/>
      <c r="D30" s="20"/>
      <c r="E30" s="7" t="s">
        <v>189</v>
      </c>
      <c r="F30" s="7"/>
      <c r="G30" s="7"/>
    </row>
    <row r="31" spans="2:7" x14ac:dyDescent="0.25">
      <c r="B31" s="19"/>
      <c r="C31" s="19"/>
      <c r="D31" s="19"/>
      <c r="E31" s="7"/>
      <c r="F31" s="7"/>
      <c r="G31" s="7"/>
    </row>
    <row r="32" spans="2:7" x14ac:dyDescent="0.25">
      <c r="B32" s="19"/>
      <c r="C32" s="19"/>
      <c r="D32" s="19"/>
      <c r="E32" s="7"/>
      <c r="F32" s="7"/>
      <c r="G32" s="7"/>
    </row>
  </sheetData>
  <mergeCells count="52">
    <mergeCell ref="B2:N2"/>
    <mergeCell ref="B4:N7"/>
    <mergeCell ref="C9:N10"/>
    <mergeCell ref="C11:N12"/>
    <mergeCell ref="B15:G15"/>
    <mergeCell ref="I15:N15"/>
    <mergeCell ref="B16:D16"/>
    <mergeCell ref="F16:G16"/>
    <mergeCell ref="I16:K16"/>
    <mergeCell ref="M16:N16"/>
    <mergeCell ref="B17:D17"/>
    <mergeCell ref="F17:G17"/>
    <mergeCell ref="I17:K17"/>
    <mergeCell ref="M17:N17"/>
    <mergeCell ref="B18:D18"/>
    <mergeCell ref="F18:G18"/>
    <mergeCell ref="I18:K18"/>
    <mergeCell ref="M18:N18"/>
    <mergeCell ref="B19:D19"/>
    <mergeCell ref="F19:G19"/>
    <mergeCell ref="I19:K19"/>
    <mergeCell ref="M19:N19"/>
    <mergeCell ref="B20:D20"/>
    <mergeCell ref="F20:G20"/>
    <mergeCell ref="I20:K20"/>
    <mergeCell ref="M20:N20"/>
    <mergeCell ref="B21:D21"/>
    <mergeCell ref="F21:G21"/>
    <mergeCell ref="I21:K21"/>
    <mergeCell ref="M21:N21"/>
    <mergeCell ref="B22:D22"/>
    <mergeCell ref="F22:G22"/>
    <mergeCell ref="I22:K22"/>
    <mergeCell ref="M22:N22"/>
    <mergeCell ref="B23:D23"/>
    <mergeCell ref="F23:G23"/>
    <mergeCell ref="I23:K23"/>
    <mergeCell ref="M23:N23"/>
    <mergeCell ref="I24:K24"/>
    <mergeCell ref="M24:N24"/>
    <mergeCell ref="B25:D25"/>
    <mergeCell ref="F25:G25"/>
    <mergeCell ref="B26:D26"/>
    <mergeCell ref="F26:G26"/>
    <mergeCell ref="I26:K26"/>
    <mergeCell ref="L26:N28"/>
    <mergeCell ref="B27:D27"/>
    <mergeCell ref="F27:G27"/>
    <mergeCell ref="B28:D28"/>
    <mergeCell ref="E28:G28"/>
    <mergeCell ref="B30:D30"/>
    <mergeCell ref="E30:G32"/>
  </mergeCells>
  <pageMargins left="0.25" right="0.25" top="0.4" bottom="0.4" header="0.2" footer="0.2"/>
  <pageSetup orientation="landscape"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2"/>
  <sheetViews>
    <sheetView workbookViewId="0"/>
  </sheetViews>
  <sheetFormatPr defaultRowHeight="19" outlineLevelRow="0" outlineLevelCol="0" x14ac:dyDescent="55" customHeight="1"/>
  <cols>
    <col min="1" max="1" width="3" customWidth="1"/>
    <col min="2" max="2" width="5" customWidth="1"/>
    <col min="3" max="3" width="15" customWidth="1"/>
    <col min="4" max="4" width="12" customWidth="1"/>
    <col min="5" max="5" width="14" customWidth="1"/>
    <col min="6" max="6" width="3" customWidth="1"/>
    <col min="7" max="7" width="12" customWidth="1"/>
    <col min="8" max="8" width="13" customWidth="1"/>
    <col min="9" max="9" width="14" customWidth="1"/>
    <col min="10" max="10" width="3" customWidth="1"/>
    <col min="11" max="11" width="16" customWidth="1"/>
    <col min="12" max="12" width="11" customWidth="1"/>
    <col min="13" max="13" width="15" customWidth="1"/>
    <col min="14" max="14" width="22" customWidth="1"/>
  </cols>
  <sheetData>
    <row r="2" spans="2:14" x14ac:dyDescent="0.25">
      <c r="B2" s="9" t="s">
        <v>42</v>
      </c>
      <c r="C2" s="9"/>
      <c r="D2" s="9"/>
      <c r="E2" s="9"/>
      <c r="F2" s="9"/>
      <c r="G2" s="9"/>
      <c r="H2" s="9"/>
      <c r="I2" s="9"/>
      <c r="J2" s="9"/>
      <c r="K2" s="9"/>
      <c r="L2" s="9"/>
      <c r="M2" s="9"/>
      <c r="N2" s="9"/>
    </row>
    <row r="4" ht="28" customHeight="1" spans="2:14" x14ac:dyDescent="0.25">
      <c r="B4" s="10" t="s">
        <v>190</v>
      </c>
      <c r="C4" s="10"/>
      <c r="D4" s="10"/>
      <c r="E4" s="10"/>
      <c r="F4" s="10"/>
      <c r="G4" s="10"/>
      <c r="H4" s="10"/>
      <c r="I4" s="10"/>
      <c r="J4" s="10"/>
      <c r="K4" s="10"/>
      <c r="L4" s="10"/>
      <c r="M4" s="10"/>
      <c r="N4" s="10"/>
    </row>
    <row r="5" ht="28" customHeight="1" spans="2:14" x14ac:dyDescent="0.25">
      <c r="B5" s="10"/>
      <c r="C5" s="10"/>
      <c r="D5" s="10"/>
      <c r="E5" s="10"/>
      <c r="F5" s="10"/>
      <c r="G5" s="10"/>
      <c r="H5" s="10"/>
      <c r="I5" s="10"/>
      <c r="J5" s="10"/>
      <c r="K5" s="10"/>
      <c r="L5" s="10"/>
      <c r="M5" s="10"/>
      <c r="N5" s="10"/>
    </row>
    <row r="6" ht="28" customHeight="1" spans="2:14" x14ac:dyDescent="0.25">
      <c r="B6" s="10"/>
      <c r="C6" s="10"/>
      <c r="D6" s="10"/>
      <c r="E6" s="10"/>
      <c r="F6" s="10"/>
      <c r="G6" s="10"/>
      <c r="H6" s="10"/>
      <c r="I6" s="10"/>
      <c r="J6" s="10"/>
      <c r="K6" s="10"/>
      <c r="L6" s="10"/>
      <c r="M6" s="10"/>
      <c r="N6" s="10"/>
    </row>
    <row r="7" ht="28" customHeight="1" spans="2:14" x14ac:dyDescent="0.25">
      <c r="B7" s="10"/>
      <c r="C7" s="10"/>
      <c r="D7" s="10"/>
      <c r="E7" s="10"/>
      <c r="F7" s="10"/>
      <c r="G7" s="10"/>
      <c r="H7" s="10"/>
      <c r="I7" s="10"/>
      <c r="J7" s="10"/>
      <c r="K7" s="10"/>
      <c r="L7" s="10"/>
      <c r="M7" s="10"/>
      <c r="N7" s="10"/>
    </row>
    <row r="9" spans="2:14" x14ac:dyDescent="0.25">
      <c r="B9" s="11" t="s">
        <v>46</v>
      </c>
      <c r="C9" s="12" t="s">
        <v>191</v>
      </c>
      <c r="D9" s="12"/>
      <c r="E9" s="12"/>
      <c r="F9" s="12"/>
      <c r="G9" s="12"/>
      <c r="H9" s="12"/>
      <c r="I9" s="12"/>
      <c r="J9" s="12"/>
      <c r="K9" s="12"/>
      <c r="L9" s="12"/>
      <c r="M9" s="12"/>
      <c r="N9" s="12"/>
    </row>
    <row r="10" spans="3:14" x14ac:dyDescent="0.25">
      <c r="C10" s="12"/>
      <c r="D10" s="12"/>
      <c r="E10" s="12"/>
      <c r="F10" s="12"/>
      <c r="G10" s="12"/>
      <c r="H10" s="12"/>
      <c r="I10" s="12"/>
      <c r="J10" s="12"/>
      <c r="K10" s="12"/>
      <c r="L10" s="12"/>
      <c r="M10" s="12"/>
      <c r="N10" s="12"/>
    </row>
    <row r="11" spans="2:14" x14ac:dyDescent="0.25">
      <c r="B11" s="11" t="s">
        <v>48</v>
      </c>
      <c r="C11" s="12" t="s">
        <v>192</v>
      </c>
      <c r="D11" s="12"/>
      <c r="E11" s="12"/>
      <c r="F11" s="12"/>
      <c r="G11" s="12"/>
      <c r="H11" s="12"/>
      <c r="I11" s="12"/>
      <c r="J11" s="12"/>
      <c r="K11" s="12"/>
      <c r="L11" s="12"/>
      <c r="M11" s="12"/>
      <c r="N11" s="12"/>
    </row>
    <row r="12" spans="3:14" x14ac:dyDescent="0.25">
      <c r="C12" s="12"/>
      <c r="D12" s="12"/>
      <c r="E12" s="12"/>
      <c r="F12" s="12"/>
      <c r="G12" s="12"/>
      <c r="H12" s="12"/>
      <c r="I12" s="12"/>
      <c r="J12" s="12"/>
      <c r="K12" s="12"/>
      <c r="L12" s="12"/>
      <c r="M12" s="12"/>
      <c r="N12" s="12"/>
    </row>
    <row r="15" spans="2:14" x14ac:dyDescent="0.25">
      <c r="B15" s="4" t="s">
        <v>50</v>
      </c>
      <c r="C15" s="4"/>
      <c r="D15" s="4"/>
      <c r="E15" s="4"/>
      <c r="F15" s="4"/>
      <c r="G15" s="4"/>
      <c r="I15" s="4" t="s">
        <v>51</v>
      </c>
      <c r="J15" s="4"/>
      <c r="K15" s="4"/>
      <c r="L15" s="4"/>
      <c r="M15" s="4"/>
      <c r="N15" s="4"/>
    </row>
    <row r="16" spans="2:14" x14ac:dyDescent="0.25">
      <c r="B16" s="3" t="s">
        <v>52</v>
      </c>
      <c r="C16" s="3"/>
      <c r="D16" s="3"/>
      <c r="E16" s="3" t="s">
        <v>53</v>
      </c>
      <c r="F16" s="3" t="s">
        <v>54</v>
      </c>
      <c r="G16" s="3"/>
      <c r="I16" s="3" t="s">
        <v>52</v>
      </c>
      <c r="J16" s="3"/>
      <c r="K16" s="3"/>
      <c r="L16" s="3" t="s">
        <v>53</v>
      </c>
      <c r="M16" s="3" t="s">
        <v>54</v>
      </c>
      <c r="N16" s="3"/>
    </row>
    <row r="17" spans="2:14" x14ac:dyDescent="0.25">
      <c r="B17" s="13" t="s">
        <v>55</v>
      </c>
      <c r="C17" s="13"/>
      <c r="D17" s="13"/>
      <c r="E17" s="6" t="s">
        <v>56</v>
      </c>
      <c r="F17" s="14" t="s">
        <v>193</v>
      </c>
      <c r="G17" s="14"/>
      <c r="I17" s="13" t="s">
        <v>58</v>
      </c>
      <c r="J17" s="13"/>
      <c r="K17" s="13"/>
      <c r="L17" s="6" t="s">
        <v>59</v>
      </c>
      <c r="M17" s="15">
        <v>0.96</v>
      </c>
      <c r="N17" s="15"/>
    </row>
    <row r="18" spans="2:14" x14ac:dyDescent="0.25">
      <c r="B18" s="13" t="s">
        <v>60</v>
      </c>
      <c r="C18" s="13"/>
      <c r="D18" s="13"/>
      <c r="E18" s="6" t="s">
        <v>61</v>
      </c>
      <c r="F18" s="14" t="s">
        <v>194</v>
      </c>
      <c r="G18" s="14"/>
      <c r="I18" s="13" t="s">
        <v>63</v>
      </c>
      <c r="J18" s="13"/>
      <c r="K18" s="13"/>
      <c r="L18" s="6" t="s">
        <v>64</v>
      </c>
      <c r="M18" s="16">
        <v>780</v>
      </c>
      <c r="N18" s="16"/>
    </row>
    <row r="19" spans="2:14" x14ac:dyDescent="0.25">
      <c r="B19" s="13" t="s">
        <v>65</v>
      </c>
      <c r="C19" s="13"/>
      <c r="D19" s="13"/>
      <c r="E19" s="6" t="s">
        <v>66</v>
      </c>
      <c r="F19" s="16">
        <v>0.03</v>
      </c>
      <c r="G19" s="16"/>
      <c r="I19" s="13" t="s">
        <v>67</v>
      </c>
      <c r="J19" s="13"/>
      <c r="K19" s="13"/>
      <c r="L19" s="6" t="s">
        <v>95</v>
      </c>
      <c r="M19" s="16">
        <v>60</v>
      </c>
      <c r="N19" s="16"/>
    </row>
    <row r="20" spans="2:14" x14ac:dyDescent="0.25">
      <c r="B20" s="13" t="s">
        <v>63</v>
      </c>
      <c r="C20" s="13"/>
      <c r="D20" s="13"/>
      <c r="E20" s="6" t="s">
        <v>64</v>
      </c>
      <c r="F20" s="16">
        <v>780</v>
      </c>
      <c r="G20" s="16"/>
      <c r="I20" s="13" t="s">
        <v>69</v>
      </c>
      <c r="J20" s="13"/>
      <c r="K20" s="13"/>
      <c r="L20" s="6" t="s">
        <v>70</v>
      </c>
      <c r="M20" s="17">
        <v>20</v>
      </c>
      <c r="N20" s="17"/>
    </row>
    <row r="21" spans="2:14" x14ac:dyDescent="0.25">
      <c r="B21" s="13" t="s">
        <v>71</v>
      </c>
      <c r="C21" s="13"/>
      <c r="D21" s="13"/>
      <c r="E21" s="6" t="s">
        <v>72</v>
      </c>
      <c r="F21" s="16">
        <v>750</v>
      </c>
      <c r="G21" s="16"/>
      <c r="I21" s="13" t="s">
        <v>73</v>
      </c>
      <c r="J21" s="13"/>
      <c r="K21" s="13"/>
      <c r="L21" s="6" t="s">
        <v>74</v>
      </c>
      <c r="M21" s="18">
        <f>_xlfn.NORM.S.INV((1+M17)/2)</f>
        <v>2.053748909003034</v>
      </c>
      <c r="N21" s="18"/>
    </row>
    <row r="22" spans="2:14" x14ac:dyDescent="0.25">
      <c r="B22" s="13" t="s">
        <v>67</v>
      </c>
      <c r="C22" s="13"/>
      <c r="D22" s="13"/>
      <c r="E22" s="6" t="s">
        <v>95</v>
      </c>
      <c r="F22" s="16">
        <v>60</v>
      </c>
      <c r="G22" s="16"/>
      <c r="I22" s="13" t="s">
        <v>75</v>
      </c>
      <c r="J22" s="13"/>
      <c r="K22" s="13"/>
      <c r="L22" s="6" t="s">
        <v>76</v>
      </c>
      <c r="M22" s="18">
        <f>M21*M19/SQRT(M20)</f>
        <v>27.55393301548088</v>
      </c>
      <c r="N22" s="18"/>
    </row>
    <row r="23" spans="2:14" x14ac:dyDescent="0.25">
      <c r="B23" s="13" t="s">
        <v>69</v>
      </c>
      <c r="C23" s="13"/>
      <c r="D23" s="13"/>
      <c r="E23" s="6" t="s">
        <v>70</v>
      </c>
      <c r="F23" s="17">
        <v>20</v>
      </c>
      <c r="G23" s="17"/>
      <c r="I23" s="13" t="s">
        <v>77</v>
      </c>
      <c r="J23" s="13"/>
      <c r="K23" s="13"/>
      <c r="L23" s="6" t="s">
        <v>78</v>
      </c>
      <c r="M23" s="18">
        <f>M18-M22</f>
        <v>752.4460669845191</v>
      </c>
      <c r="N23" s="18"/>
    </row>
    <row r="24" spans="2:14" x14ac:dyDescent="0.25">
      <c r="B24" s="19"/>
      <c r="C24" s="19"/>
      <c r="D24" s="19"/>
      <c r="E24" s="19"/>
      <c r="F24" s="19"/>
      <c r="G24" s="19"/>
      <c r="I24" s="13" t="s">
        <v>79</v>
      </c>
      <c r="J24" s="13"/>
      <c r="K24" s="13"/>
      <c r="L24" s="6" t="s">
        <v>80</v>
      </c>
      <c r="M24" s="18">
        <f>M18+M22</f>
        <v>807.5539330154809</v>
      </c>
      <c r="N24" s="18"/>
    </row>
    <row r="25" spans="2:14" x14ac:dyDescent="0.25">
      <c r="B25" s="13" t="s">
        <v>81</v>
      </c>
      <c r="C25" s="13"/>
      <c r="D25" s="13"/>
      <c r="E25" s="6" t="s">
        <v>82</v>
      </c>
      <c r="F25" s="18">
        <f>(F20-F21)/(F22/SQRT(F23))</f>
        <v>2.23606797749979</v>
      </c>
      <c r="G25" s="18"/>
      <c r="I25" s="19"/>
      <c r="J25" s="19"/>
      <c r="K25" s="19"/>
      <c r="L25" s="19"/>
      <c r="M25" s="19"/>
      <c r="N25" s="19"/>
    </row>
    <row r="26" spans="2:14" x14ac:dyDescent="0.25">
      <c r="B26" s="13" t="s">
        <v>83</v>
      </c>
      <c r="C26" s="13"/>
      <c r="D26" s="13"/>
      <c r="E26" s="6" t="s">
        <v>84</v>
      </c>
      <c r="F26" s="18">
        <f>_xlfn.NORM.S.INV(1-F19)</f>
        <v>1.8807936060361308</v>
      </c>
      <c r="G26" s="18"/>
      <c r="I26" s="20" t="s">
        <v>85</v>
      </c>
      <c r="J26" s="20"/>
      <c r="K26" s="20"/>
      <c r="L26" s="7" t="s">
        <v>195</v>
      </c>
      <c r="M26" s="7"/>
      <c r="N26" s="7"/>
    </row>
    <row r="27" spans="2:14" x14ac:dyDescent="0.25">
      <c r="B27" s="13" t="s">
        <v>87</v>
      </c>
      <c r="C27" s="13"/>
      <c r="D27" s="13"/>
      <c r="E27" s="6" t="s">
        <v>88</v>
      </c>
      <c r="F27" s="18">
        <f>1-_xlfn.NORM.S.DIST(F25,1)</f>
        <v>0.012673617875446075</v>
      </c>
      <c r="G27" s="18"/>
      <c r="I27" s="19"/>
      <c r="J27" s="19"/>
      <c r="K27" s="19"/>
      <c r="L27" s="7"/>
      <c r="M27" s="7"/>
      <c r="N27" s="7"/>
    </row>
    <row r="28" spans="2:14" x14ac:dyDescent="0.25">
      <c r="B28" s="20" t="s">
        <v>5</v>
      </c>
      <c r="C28" s="20"/>
      <c r="D28" s="20"/>
      <c r="E28" s="7" t="s">
        <v>9</v>
      </c>
      <c r="F28" s="7"/>
      <c r="G28" s="7"/>
      <c r="I28" s="19"/>
      <c r="J28" s="19"/>
      <c r="K28" s="19"/>
      <c r="L28" s="7"/>
      <c r="M28" s="7"/>
      <c r="N28" s="7"/>
    </row>
    <row r="29" spans="2:7" x14ac:dyDescent="0.25">
      <c r="B29" s="19"/>
      <c r="C29" s="19"/>
      <c r="D29" s="19"/>
      <c r="E29" s="19"/>
      <c r="F29" s="19"/>
      <c r="G29" s="19"/>
    </row>
    <row r="30" spans="2:7" x14ac:dyDescent="0.25">
      <c r="B30" s="20" t="s">
        <v>85</v>
      </c>
      <c r="C30" s="20"/>
      <c r="D30" s="20"/>
      <c r="E30" s="7" t="s">
        <v>196</v>
      </c>
      <c r="F30" s="7"/>
      <c r="G30" s="7"/>
    </row>
    <row r="31" spans="2:7" x14ac:dyDescent="0.25">
      <c r="B31" s="19"/>
      <c r="C31" s="19"/>
      <c r="D31" s="19"/>
      <c r="E31" s="7"/>
      <c r="F31" s="7"/>
      <c r="G31" s="7"/>
    </row>
    <row r="32" spans="2:7" x14ac:dyDescent="0.25">
      <c r="B32" s="19"/>
      <c r="C32" s="19"/>
      <c r="D32" s="19"/>
      <c r="E32" s="7"/>
      <c r="F32" s="7"/>
      <c r="G32" s="7"/>
    </row>
  </sheetData>
  <mergeCells count="52">
    <mergeCell ref="B2:N2"/>
    <mergeCell ref="B4:N7"/>
    <mergeCell ref="C9:N10"/>
    <mergeCell ref="C11:N12"/>
    <mergeCell ref="B15:G15"/>
    <mergeCell ref="I15:N15"/>
    <mergeCell ref="B16:D16"/>
    <mergeCell ref="F16:G16"/>
    <mergeCell ref="I16:K16"/>
    <mergeCell ref="M16:N16"/>
    <mergeCell ref="B17:D17"/>
    <mergeCell ref="F17:G17"/>
    <mergeCell ref="I17:K17"/>
    <mergeCell ref="M17:N17"/>
    <mergeCell ref="B18:D18"/>
    <mergeCell ref="F18:G18"/>
    <mergeCell ref="I18:K18"/>
    <mergeCell ref="M18:N18"/>
    <mergeCell ref="B19:D19"/>
    <mergeCell ref="F19:G19"/>
    <mergeCell ref="I19:K19"/>
    <mergeCell ref="M19:N19"/>
    <mergeCell ref="B20:D20"/>
    <mergeCell ref="F20:G20"/>
    <mergeCell ref="I20:K20"/>
    <mergeCell ref="M20:N20"/>
    <mergeCell ref="B21:D21"/>
    <mergeCell ref="F21:G21"/>
    <mergeCell ref="I21:K21"/>
    <mergeCell ref="M21:N21"/>
    <mergeCell ref="B22:D22"/>
    <mergeCell ref="F22:G22"/>
    <mergeCell ref="I22:K22"/>
    <mergeCell ref="M22:N22"/>
    <mergeCell ref="B23:D23"/>
    <mergeCell ref="F23:G23"/>
    <mergeCell ref="I23:K23"/>
    <mergeCell ref="M23:N23"/>
    <mergeCell ref="I24:K24"/>
    <mergeCell ref="M24:N24"/>
    <mergeCell ref="B25:D25"/>
    <mergeCell ref="F25:G25"/>
    <mergeCell ref="B26:D26"/>
    <mergeCell ref="F26:G26"/>
    <mergeCell ref="I26:K26"/>
    <mergeCell ref="L26:N28"/>
    <mergeCell ref="B27:D27"/>
    <mergeCell ref="F27:G27"/>
    <mergeCell ref="B28:D28"/>
    <mergeCell ref="E28:G28"/>
    <mergeCell ref="B30:D30"/>
    <mergeCell ref="E30:G32"/>
  </mergeCells>
  <pageMargins left="0.25" right="0.25" top="0.4" bottom="0.4" header="0.2" footer="0.2"/>
  <pageSetup orientation="landscape"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Resumen</vt:lpstr>
      <vt:lpstr>Ejercicio 1</vt:lpstr>
      <vt:lpstr>Ejercicio 2</vt:lpstr>
      <vt:lpstr>Ejercicio 3</vt:lpstr>
      <vt:lpstr>Ejercicio 4</vt:lpstr>
      <vt:lpstr>Ejercicio 5</vt:lpstr>
      <vt:lpstr>Ejercicio 6</vt:lpstr>
      <vt:lpstr>Ejercicio 7</vt:lpstr>
      <vt:lpstr>Ejercicio 8</vt:lpstr>
      <vt:lpstr>Ejercicio 9</vt:lpstr>
      <vt:lpstr>Ejercicio 10</vt:lpstr>
      <vt:lpstr>Ejercicio 11</vt:lpstr>
      <vt:lpstr>Ejercicio 12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Unknown</cp:lastModifiedBy>
  <dcterms:created xsi:type="dcterms:W3CDTF">2026-05-02T01:12:43Z</dcterms:created>
  <dcterms:modified xsi:type="dcterms:W3CDTF">2026-05-02T01:12:43Z</dcterms:modified>
</cp:coreProperties>
</file>