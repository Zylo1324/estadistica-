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USAT\Economia II\"/>
    </mc:Choice>
  </mc:AlternateContent>
  <xr:revisionPtr revIDLastSave="0" documentId="13_ncr:1_{E33CF8B9-CBAE-4CDA-80B6-528F39391820}" xr6:coauthVersionLast="36" xr6:coauthVersionMax="36" xr10:uidLastSave="{00000000-0000-0000-0000-000000000000}"/>
  <bookViews>
    <workbookView xWindow="0" yWindow="0" windowWidth="28800" windowHeight="12225" activeTab="1" xr2:uid="{00000000-000D-0000-FFFF-FFFF00000000}"/>
  </bookViews>
  <sheets>
    <sheet name="Ejemplo.ME - MEDIA" sheetId="1" r:id="rId1"/>
    <sheet name="Ejemplo ME - PROPORCIÓN" sheetId="4"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5" i="4" l="1"/>
  <c r="H16" i="4"/>
  <c r="G15" i="4"/>
  <c r="G16" i="4"/>
  <c r="F15" i="4"/>
  <c r="F16" i="4"/>
  <c r="D14" i="4"/>
  <c r="F14" i="4"/>
  <c r="D17" i="4"/>
  <c r="D15" i="4"/>
  <c r="D16" i="4"/>
  <c r="F22" i="4"/>
  <c r="I18" i="1"/>
  <c r="I19" i="1"/>
  <c r="I17" i="1"/>
  <c r="H18" i="1"/>
  <c r="H19" i="1"/>
  <c r="C27" i="1"/>
  <c r="H17" i="1"/>
  <c r="C24" i="1"/>
  <c r="C22" i="1"/>
  <c r="G20" i="1"/>
  <c r="G18" i="1"/>
  <c r="G19" i="1"/>
  <c r="G17" i="1"/>
  <c r="F20" i="1"/>
  <c r="F18" i="1"/>
  <c r="F19" i="1"/>
  <c r="E19" i="1"/>
  <c r="E18" i="1"/>
  <c r="E17" i="1"/>
  <c r="C17" i="4" l="1"/>
  <c r="E23" i="4" l="1"/>
  <c r="D24" i="4" l="1"/>
  <c r="G14" i="4"/>
  <c r="C20" i="1"/>
  <c r="H14" i="4" l="1"/>
  <c r="H17" i="4" l="1"/>
  <c r="F17" i="1"/>
  <c r="E20" i="1"/>
  <c r="G17" i="4"/>
  <c r="C25" i="1"/>
  <c r="C11" i="1"/>
  <c r="D25" i="4" l="1"/>
  <c r="I14" i="4" s="1"/>
  <c r="J14" i="4" s="1"/>
  <c r="I16" i="4" l="1"/>
  <c r="J16" i="4" s="1"/>
  <c r="I15" i="4"/>
  <c r="J15" i="4" s="1"/>
  <c r="D27" i="1"/>
  <c r="H20" i="1"/>
  <c r="J17" i="4" l="1"/>
  <c r="I17" i="4"/>
  <c r="I20" i="1"/>
  <c r="J17" i="1"/>
  <c r="J19" i="1"/>
  <c r="K19" i="1" s="1"/>
  <c r="J18" i="1"/>
  <c r="K18" i="1" s="1"/>
  <c r="K17" i="1" l="1"/>
  <c r="K20" i="1" s="1"/>
  <c r="J2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Sandra</author>
  </authors>
  <commentList>
    <comment ref="D13" authorId="0" shapeId="0" xr:uid="{00000000-0006-0000-0100-000001000000}">
      <text>
        <r>
          <rPr>
            <sz val="9"/>
            <color indexed="81"/>
            <rFont val="Tahoma"/>
            <family val="2"/>
          </rPr>
          <t xml:space="preserve">Peso del i-ésimo estrato
</t>
        </r>
      </text>
    </comment>
  </commentList>
</comments>
</file>

<file path=xl/sharedStrings.xml><?xml version="1.0" encoding="utf-8"?>
<sst xmlns="http://schemas.openxmlformats.org/spreadsheetml/2006/main" count="59" uniqueCount="54">
  <si>
    <t>Docentes</t>
  </si>
  <si>
    <t>Administrativos</t>
  </si>
  <si>
    <t>Estudiantes</t>
  </si>
  <si>
    <t>Estrato</t>
  </si>
  <si>
    <t>Tamaño de muestra (n)=</t>
  </si>
  <si>
    <t>N = tamaño de la población.</t>
  </si>
  <si>
    <t>Solución.</t>
  </si>
  <si>
    <t>Total</t>
  </si>
  <si>
    <t>Donde:</t>
  </si>
  <si>
    <t>Tamaño de muestra para estimar la proporción con muestreo estratificado</t>
  </si>
  <si>
    <t>Para estimar la proporción poblacional utilizando una variable aleatoria se utiliza la siguiente relación:</t>
  </si>
  <si>
    <t>ESTRATO</t>
  </si>
  <si>
    <t>ph</t>
  </si>
  <si>
    <t>qh</t>
  </si>
  <si>
    <t>tamaño de muestra
por estrato</t>
  </si>
  <si>
    <t>Lambayeque</t>
  </si>
  <si>
    <t>Chiclayo</t>
  </si>
  <si>
    <t>Ferreñafe</t>
  </si>
  <si>
    <t>Tamaño de Muestra</t>
  </si>
  <si>
    <t>=DISTR.NORM.ESTAND.INV(1-0.05/2)</t>
  </si>
  <si>
    <t>Varianza deseada(V)=</t>
  </si>
  <si>
    <t>Tamaño de población (N)=</t>
  </si>
  <si>
    <t>n =</t>
  </si>
  <si>
    <t>Donde V= varianza deseada</t>
  </si>
  <si>
    <t>Z = desvío normal</t>
  </si>
  <si>
    <r>
      <t>W</t>
    </r>
    <r>
      <rPr>
        <b/>
        <vertAlign val="subscript"/>
        <sz val="11"/>
        <color indexed="8"/>
        <rFont val="Calibri"/>
        <family val="2"/>
      </rPr>
      <t>h</t>
    </r>
    <r>
      <rPr>
        <b/>
        <sz val="11"/>
        <color indexed="8"/>
        <rFont val="Calibri"/>
        <family val="2"/>
      </rPr>
      <t xml:space="preserve"> = importancia o peso del i-ésimo estrato</t>
    </r>
  </si>
  <si>
    <r>
      <t>P</t>
    </r>
    <r>
      <rPr>
        <b/>
        <vertAlign val="subscript"/>
        <sz val="11"/>
        <color indexed="8"/>
        <rFont val="Calibri"/>
        <family val="2"/>
      </rPr>
      <t>h</t>
    </r>
    <r>
      <rPr>
        <b/>
        <sz val="11"/>
        <color indexed="8"/>
        <rFont val="Calibri"/>
        <family val="2"/>
      </rPr>
      <t xml:space="preserve"> = proporción de éxito del estrato i</t>
    </r>
  </si>
  <si>
    <r>
      <t>q</t>
    </r>
    <r>
      <rPr>
        <b/>
        <vertAlign val="subscript"/>
        <sz val="11"/>
        <color indexed="8"/>
        <rFont val="Calibri"/>
        <family val="2"/>
      </rPr>
      <t>h</t>
    </r>
    <r>
      <rPr>
        <b/>
        <sz val="11"/>
        <color indexed="8"/>
        <rFont val="Calibri"/>
        <family val="2"/>
      </rPr>
      <t>= proporción de fracaso del estrato i</t>
    </r>
  </si>
  <si>
    <t>N =tamaño de la población</t>
  </si>
  <si>
    <t>Para realizar una investigación sobre identidad cultural, se obtiene información del total de población de la Región Lambayeque, pobladores mayores de 18 según datos INEI, con una precisión del 3% y un nivel de confianza del 95%. Calcular el tamaño de muestra, para realizar la investigación se aplicó un estudio previo (piloto ) de lo cuál se obtuvo : Lambayeque (13.8% se identificaba con su región), Chiclayo 14% y Ferreñafe 34.3% respectivamente.</t>
  </si>
  <si>
    <t>Precisión (e)=</t>
  </si>
  <si>
    <t>=(e/Z)^2 =</t>
  </si>
  <si>
    <t>Wh</t>
  </si>
  <si>
    <t>Nh</t>
  </si>
  <si>
    <t>Total (N) =</t>
  </si>
  <si>
    <t>Tamaño de muestra (n) =</t>
  </si>
  <si>
    <t>e =precisión</t>
  </si>
  <si>
    <t>El director del Área de Información de Estadística de la USAT, debe realizar una investigación acerca de la Evaluación de la Calidad de Servicio que brinda la universidad. El área de desarrollo de Sistema brindo información para poder determinar el tamaño de muestra con una precisión de 0.05.</t>
  </si>
  <si>
    <r>
      <t>N</t>
    </r>
    <r>
      <rPr>
        <b/>
        <vertAlign val="subscript"/>
        <sz val="11"/>
        <color theme="1"/>
        <rFont val="Calibri"/>
        <family val="2"/>
        <scheme val="minor"/>
      </rPr>
      <t>h</t>
    </r>
  </si>
  <si>
    <r>
      <t>S</t>
    </r>
    <r>
      <rPr>
        <b/>
        <vertAlign val="subscript"/>
        <sz val="11"/>
        <color theme="1"/>
        <rFont val="Calibri"/>
        <family val="2"/>
        <scheme val="minor"/>
      </rPr>
      <t>h</t>
    </r>
  </si>
  <si>
    <t>e = Precisión =</t>
  </si>
  <si>
    <r>
      <t>N</t>
    </r>
    <r>
      <rPr>
        <b/>
        <vertAlign val="subscript"/>
        <sz val="11"/>
        <rFont val="Calibri"/>
        <family val="2"/>
        <scheme val="minor"/>
      </rPr>
      <t>h</t>
    </r>
  </si>
  <si>
    <r>
      <t>S</t>
    </r>
    <r>
      <rPr>
        <b/>
        <vertAlign val="subscript"/>
        <sz val="11"/>
        <rFont val="Calibri"/>
        <family val="2"/>
        <scheme val="minor"/>
      </rPr>
      <t>h</t>
    </r>
  </si>
  <si>
    <r>
      <t>W</t>
    </r>
    <r>
      <rPr>
        <b/>
        <vertAlign val="subscript"/>
        <sz val="11"/>
        <rFont val="Calibri"/>
        <family val="2"/>
        <scheme val="minor"/>
      </rPr>
      <t>h</t>
    </r>
  </si>
  <si>
    <r>
      <t>N</t>
    </r>
    <r>
      <rPr>
        <b/>
        <vertAlign val="subscript"/>
        <sz val="11"/>
        <rFont val="Calibri"/>
        <family val="2"/>
        <scheme val="minor"/>
      </rPr>
      <t>h</t>
    </r>
    <r>
      <rPr>
        <b/>
        <sz val="11"/>
        <rFont val="Calibri"/>
        <family val="2"/>
        <scheme val="minor"/>
      </rPr>
      <t>*S</t>
    </r>
    <r>
      <rPr>
        <b/>
        <vertAlign val="subscript"/>
        <sz val="11"/>
        <rFont val="Calibri"/>
        <family val="2"/>
        <scheme val="minor"/>
      </rPr>
      <t>h</t>
    </r>
    <r>
      <rPr>
        <b/>
        <vertAlign val="superscript"/>
        <sz val="11"/>
        <rFont val="Calibri"/>
        <family val="2"/>
        <scheme val="minor"/>
      </rPr>
      <t>2</t>
    </r>
  </si>
  <si>
    <r>
      <t>Tamaño de muestra
n</t>
    </r>
    <r>
      <rPr>
        <b/>
        <vertAlign val="subscript"/>
        <sz val="8"/>
        <rFont val="Calibri"/>
        <family val="2"/>
        <scheme val="minor"/>
      </rPr>
      <t>h</t>
    </r>
    <r>
      <rPr>
        <b/>
        <sz val="8"/>
        <rFont val="Calibri"/>
        <family val="2"/>
        <scheme val="minor"/>
      </rPr>
      <t xml:space="preserve"> =W</t>
    </r>
    <r>
      <rPr>
        <b/>
        <vertAlign val="subscript"/>
        <sz val="8"/>
        <rFont val="Calibri"/>
        <family val="2"/>
        <scheme val="minor"/>
      </rPr>
      <t>h</t>
    </r>
    <r>
      <rPr>
        <b/>
        <sz val="8"/>
        <rFont val="Calibri"/>
        <family val="2"/>
        <scheme val="minor"/>
      </rPr>
      <t>*n</t>
    </r>
  </si>
  <si>
    <r>
      <t>n</t>
    </r>
    <r>
      <rPr>
        <b/>
        <vertAlign val="subscript"/>
        <sz val="11"/>
        <rFont val="Calibri"/>
        <family val="2"/>
        <scheme val="minor"/>
      </rPr>
      <t>h</t>
    </r>
  </si>
  <si>
    <r>
      <t>D = (e</t>
    </r>
    <r>
      <rPr>
        <b/>
        <vertAlign val="superscript"/>
        <sz val="11"/>
        <rFont val="Calibri"/>
        <family val="2"/>
        <scheme val="minor"/>
      </rPr>
      <t>2</t>
    </r>
    <r>
      <rPr>
        <b/>
        <sz val="11"/>
        <rFont val="Calibri"/>
        <family val="2"/>
        <scheme val="minor"/>
      </rPr>
      <t>/4)=</t>
    </r>
  </si>
  <si>
    <r>
      <t>N</t>
    </r>
    <r>
      <rPr>
        <b/>
        <vertAlign val="superscript"/>
        <sz val="11"/>
        <rFont val="Calibri"/>
        <family val="2"/>
        <scheme val="minor"/>
      </rPr>
      <t xml:space="preserve">2 </t>
    </r>
    <r>
      <rPr>
        <b/>
        <sz val="11"/>
        <rFont val="Calibri"/>
        <family val="2"/>
        <scheme val="minor"/>
      </rPr>
      <t>D=</t>
    </r>
  </si>
  <si>
    <r>
      <t>N</t>
    </r>
    <r>
      <rPr>
        <b/>
        <vertAlign val="subscript"/>
        <sz val="11"/>
        <rFont val="Calibri"/>
        <family val="2"/>
        <scheme val="minor"/>
      </rPr>
      <t>h</t>
    </r>
    <r>
      <rPr>
        <b/>
        <vertAlign val="superscript"/>
        <sz val="11"/>
        <rFont val="Calibri"/>
        <family val="2"/>
        <scheme val="minor"/>
      </rPr>
      <t>2</t>
    </r>
    <r>
      <rPr>
        <b/>
        <sz val="11"/>
        <rFont val="Calibri"/>
        <family val="2"/>
        <scheme val="minor"/>
      </rPr>
      <t>*S</t>
    </r>
    <r>
      <rPr>
        <b/>
        <vertAlign val="subscript"/>
        <sz val="11"/>
        <rFont val="Calibri"/>
        <family val="2"/>
        <scheme val="minor"/>
      </rPr>
      <t>h</t>
    </r>
    <r>
      <rPr>
        <b/>
        <vertAlign val="superscript"/>
        <sz val="11"/>
        <rFont val="Calibri"/>
        <family val="2"/>
        <scheme val="minor"/>
      </rPr>
      <t>2</t>
    </r>
    <r>
      <rPr>
        <b/>
        <sz val="11"/>
        <rFont val="Calibri"/>
        <family val="2"/>
        <scheme val="minor"/>
      </rPr>
      <t>/W</t>
    </r>
    <r>
      <rPr>
        <b/>
        <vertAlign val="subscript"/>
        <sz val="11"/>
        <rFont val="Calibri"/>
        <family val="2"/>
        <scheme val="minor"/>
      </rPr>
      <t>h</t>
    </r>
  </si>
  <si>
    <r>
      <t>wh*(ph*qh)</t>
    </r>
    <r>
      <rPr>
        <b/>
        <vertAlign val="superscript"/>
        <sz val="11"/>
        <rFont val="Calibri"/>
        <family val="2"/>
      </rPr>
      <t>1/2</t>
    </r>
  </si>
  <si>
    <r>
      <t>Wh</t>
    </r>
    <r>
      <rPr>
        <b/>
        <vertAlign val="superscript"/>
        <sz val="11"/>
        <rFont val="Calibri"/>
        <family val="2"/>
      </rPr>
      <t>2</t>
    </r>
    <r>
      <rPr>
        <b/>
        <sz val="11"/>
        <rFont val="Calibri"/>
        <family val="2"/>
      </rPr>
      <t>*ph*qh</t>
    </r>
  </si>
  <si>
    <t>nh =</t>
  </si>
  <si>
    <t xml:space="preserve">Z (97.5%)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</si>
</sst>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8" x14ac:knownFonts="1">
    <font>
      <sz val="11"/>
      <color theme="1"/>
      <name val="Calibri"/>
      <family val="2"/>
      <scheme val="minor"/>
    </font>
    <font>
      <b/>
      <sz val="11"/>
      <color theme="1"/>
      <name val="Calibri"/>
      <family val="2"/>
      <scheme val="minor"/>
    </font>
    <font>
      <b/>
      <u/>
      <sz val="11"/>
      <color theme="1"/>
      <name val="Calibri"/>
      <family val="2"/>
      <scheme val="minor"/>
    </font>
    <font>
      <b/>
      <sz val="11"/>
      <color theme="0"/>
      <name val="Calibri"/>
      <family val="2"/>
      <scheme val="minor"/>
    </font>
    <font>
      <b/>
      <sz val="11"/>
      <color indexed="8"/>
      <name val="Calibri"/>
      <family val="2"/>
    </font>
    <font>
      <b/>
      <vertAlign val="subscript"/>
      <sz val="11"/>
      <color indexed="8"/>
      <name val="Calibri"/>
      <family val="2"/>
    </font>
    <font>
      <sz val="9"/>
      <color indexed="81"/>
      <name val="Tahoma"/>
      <family val="2"/>
    </font>
    <font>
      <b/>
      <sz val="14"/>
      <color theme="1"/>
      <name val="Calibri"/>
      <family val="2"/>
      <scheme val="minor"/>
    </font>
    <font>
      <b/>
      <u/>
      <sz val="20"/>
      <color indexed="56"/>
      <name val="Calibri"/>
      <family val="2"/>
    </font>
    <font>
      <b/>
      <sz val="11"/>
      <color theme="1"/>
      <name val="Calibri"/>
      <family val="2"/>
    </font>
    <font>
      <b/>
      <sz val="10"/>
      <color theme="1"/>
      <name val="Cambria"/>
      <family val="1"/>
    </font>
    <font>
      <b/>
      <vertAlign val="subscript"/>
      <sz val="11"/>
      <color theme="1"/>
      <name val="Calibri"/>
      <family val="2"/>
      <scheme val="minor"/>
    </font>
    <font>
      <sz val="11"/>
      <name val="Calibri"/>
      <family val="2"/>
      <scheme val="minor"/>
    </font>
    <font>
      <b/>
      <sz val="11"/>
      <name val="Calibri"/>
      <family val="2"/>
      <scheme val="minor"/>
    </font>
    <font>
      <sz val="11"/>
      <color theme="0"/>
      <name val="Calibri"/>
      <family val="2"/>
      <scheme val="minor"/>
    </font>
    <font>
      <b/>
      <vertAlign val="subscript"/>
      <sz val="11"/>
      <name val="Calibri"/>
      <family val="2"/>
      <scheme val="minor"/>
    </font>
    <font>
      <b/>
      <vertAlign val="superscript"/>
      <sz val="11"/>
      <name val="Calibri"/>
      <family val="2"/>
      <scheme val="minor"/>
    </font>
    <font>
      <b/>
      <sz val="8"/>
      <name val="Calibri"/>
      <family val="2"/>
      <scheme val="minor"/>
    </font>
    <font>
      <b/>
      <vertAlign val="subscript"/>
      <sz val="8"/>
      <name val="Calibri"/>
      <family val="2"/>
      <scheme val="minor"/>
    </font>
    <font>
      <b/>
      <sz val="11"/>
      <color theme="0"/>
      <name val="Calibri"/>
      <family val="2"/>
    </font>
    <font>
      <b/>
      <sz val="11"/>
      <name val="Calibri"/>
      <family val="2"/>
    </font>
    <font>
      <sz val="10"/>
      <name val="Arial Narrow"/>
      <family val="2"/>
    </font>
    <font>
      <b/>
      <sz val="10"/>
      <name val="Arial Narrow"/>
      <family val="2"/>
    </font>
    <font>
      <b/>
      <vertAlign val="superscript"/>
      <sz val="11"/>
      <name val="Calibri"/>
      <family val="2"/>
    </font>
    <font>
      <b/>
      <sz val="9"/>
      <name val="Calibri"/>
      <family val="2"/>
      <scheme val="minor"/>
    </font>
    <font>
      <b/>
      <sz val="9"/>
      <name val="Calibri"/>
      <family val="2"/>
    </font>
    <font>
      <sz val="10"/>
      <color theme="0"/>
      <name val="Arial Narrow"/>
      <family val="2"/>
    </font>
    <font>
      <b/>
      <sz val="10"/>
      <color theme="0"/>
      <name val="Arial Narrow"/>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s>
  <cellStyleXfs count="1">
    <xf numFmtId="0" fontId="0" fillId="0" borderId="0"/>
  </cellStyleXfs>
  <cellXfs count="58">
    <xf numFmtId="0" fontId="0" fillId="0" borderId="0" xfId="0"/>
    <xf numFmtId="0" fontId="0" fillId="2" borderId="0" xfId="0" applyFill="1"/>
    <xf numFmtId="0" fontId="1" fillId="2" borderId="0" xfId="0" applyFont="1" applyFill="1" applyAlignment="1">
      <alignment horizontal="left" vertical="center" indent="2"/>
    </xf>
    <xf numFmtId="0" fontId="0" fillId="2" borderId="1" xfId="0" applyFill="1" applyBorder="1" applyAlignment="1">
      <alignment horizontal="center"/>
    </xf>
    <xf numFmtId="0" fontId="0" fillId="2" borderId="0" xfId="0" applyFill="1" applyBorder="1" applyAlignment="1">
      <alignment horizontal="center"/>
    </xf>
    <xf numFmtId="0" fontId="4" fillId="2" borderId="0" xfId="0" applyFont="1" applyFill="1"/>
    <xf numFmtId="0" fontId="3" fillId="2" borderId="0" xfId="0" applyFont="1" applyFill="1"/>
    <xf numFmtId="0" fontId="4" fillId="2" borderId="0" xfId="0" applyFont="1" applyFill="1" applyAlignment="1">
      <alignment vertical="center"/>
    </xf>
    <xf numFmtId="0" fontId="9" fillId="2" borderId="1" xfId="0" applyFont="1" applyFill="1" applyBorder="1" applyAlignment="1">
      <alignment horizontal="center" vertical="center"/>
    </xf>
    <xf numFmtId="0" fontId="10" fillId="2" borderId="1" xfId="0" applyFont="1" applyFill="1" applyBorder="1" applyAlignment="1">
      <alignment horizontal="left" vertical="center"/>
    </xf>
    <xf numFmtId="0" fontId="9" fillId="2" borderId="1"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left"/>
    </xf>
    <xf numFmtId="0" fontId="2" fillId="2" borderId="0" xfId="0" applyFont="1" applyFill="1" applyBorder="1" applyAlignment="1">
      <alignment horizontal="left"/>
    </xf>
    <xf numFmtId="0" fontId="12" fillId="2" borderId="1" xfId="0" applyFont="1" applyFill="1" applyBorder="1" applyAlignment="1">
      <alignment horizontal="center"/>
    </xf>
    <xf numFmtId="0" fontId="13" fillId="2" borderId="1" xfId="0" applyFont="1" applyFill="1" applyBorder="1" applyAlignment="1">
      <alignment horizontal="center"/>
    </xf>
    <xf numFmtId="0" fontId="13"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0" fontId="12" fillId="2" borderId="1" xfId="0" applyFont="1" applyFill="1" applyBorder="1"/>
    <xf numFmtId="0" fontId="13" fillId="2" borderId="1" xfId="0" applyFont="1" applyFill="1" applyBorder="1"/>
    <xf numFmtId="0" fontId="12" fillId="2" borderId="0" xfId="0" applyFont="1" applyFill="1"/>
    <xf numFmtId="0" fontId="13" fillId="2" borderId="0" xfId="0" applyFont="1" applyFill="1" applyAlignment="1">
      <alignment vertical="center"/>
    </xf>
    <xf numFmtId="0" fontId="13" fillId="2" borderId="0" xfId="0" applyFont="1" applyFill="1"/>
    <xf numFmtId="0" fontId="13" fillId="2" borderId="0" xfId="0" applyFont="1" applyFill="1" applyBorder="1"/>
    <xf numFmtId="0" fontId="14" fillId="2" borderId="0" xfId="0" applyFont="1" applyFill="1"/>
    <xf numFmtId="0" fontId="14" fillId="2" borderId="0" xfId="0" applyFont="1" applyFill="1" applyBorder="1" applyAlignment="1">
      <alignment horizontal="center"/>
    </xf>
    <xf numFmtId="0" fontId="19" fillId="2" borderId="0" xfId="0" applyFont="1" applyFill="1"/>
    <xf numFmtId="0" fontId="20" fillId="2" borderId="1" xfId="0" applyFont="1" applyFill="1" applyBorder="1" applyAlignment="1">
      <alignment horizontal="center" vertical="center"/>
    </xf>
    <xf numFmtId="164" fontId="12" fillId="2" borderId="1" xfId="0" applyNumberFormat="1" applyFont="1" applyFill="1" applyBorder="1" applyAlignment="1">
      <alignment horizontal="center"/>
    </xf>
    <xf numFmtId="0" fontId="21" fillId="2" borderId="1" xfId="0" applyFont="1" applyFill="1" applyBorder="1" applyAlignment="1">
      <alignment horizontal="center"/>
    </xf>
    <xf numFmtId="0" fontId="22" fillId="2" borderId="1" xfId="0" applyFont="1" applyFill="1" applyBorder="1" applyAlignment="1">
      <alignment horizontal="center"/>
    </xf>
    <xf numFmtId="0" fontId="20" fillId="2" borderId="1" xfId="0" applyFont="1" applyFill="1" applyBorder="1" applyAlignment="1">
      <alignment horizontal="center"/>
    </xf>
    <xf numFmtId="0" fontId="12" fillId="2" borderId="1" xfId="0" applyFont="1" applyFill="1" applyBorder="1" applyAlignment="1">
      <alignment horizontal="left"/>
    </xf>
    <xf numFmtId="0" fontId="12" fillId="2" borderId="0" xfId="0" applyFont="1" applyFill="1" applyBorder="1"/>
    <xf numFmtId="0" fontId="21" fillId="2" borderId="0" xfId="0" applyFont="1" applyFill="1" applyBorder="1" applyAlignment="1">
      <alignment horizontal="center"/>
    </xf>
    <xf numFmtId="0" fontId="20" fillId="2" borderId="0" xfId="0" applyFont="1" applyFill="1"/>
    <xf numFmtId="0" fontId="24" fillId="2" borderId="0" xfId="0" quotePrefix="1" applyFont="1" applyFill="1"/>
    <xf numFmtId="164" fontId="12" fillId="2" borderId="0" xfId="0" applyNumberFormat="1" applyFont="1" applyFill="1"/>
    <xf numFmtId="0" fontId="13" fillId="2" borderId="0" xfId="0" quotePrefix="1" applyFont="1" applyFill="1"/>
    <xf numFmtId="164" fontId="13" fillId="2" borderId="0" xfId="0" applyNumberFormat="1" applyFont="1" applyFill="1"/>
    <xf numFmtId="0" fontId="20" fillId="2" borderId="0" xfId="0" applyFont="1" applyFill="1" applyAlignment="1">
      <alignment vertical="center"/>
    </xf>
    <xf numFmtId="0" fontId="25" fillId="2" borderId="1" xfId="0" applyFont="1" applyFill="1" applyBorder="1" applyAlignment="1">
      <alignment horizontal="center" vertical="center" wrapText="1"/>
    </xf>
    <xf numFmtId="0" fontId="13" fillId="2" borderId="0" xfId="0" applyFont="1" applyFill="1" applyAlignment="1">
      <alignment horizontal="left"/>
    </xf>
    <xf numFmtId="0" fontId="0" fillId="2" borderId="1" xfId="0" applyNumberFormat="1" applyFont="1" applyFill="1" applyBorder="1" applyAlignment="1">
      <alignment horizontal="center"/>
    </xf>
    <xf numFmtId="0" fontId="7" fillId="2" borderId="0" xfId="0" applyFont="1" applyFill="1" applyBorder="1" applyAlignment="1">
      <alignment horizontal="left" vertical="top" wrapText="1"/>
    </xf>
    <xf numFmtId="0" fontId="8" fillId="2" borderId="0" xfId="0" applyFont="1" applyFill="1" applyAlignment="1">
      <alignment horizontal="left" vertical="center"/>
    </xf>
    <xf numFmtId="0" fontId="20" fillId="2" borderId="0" xfId="0" applyFont="1" applyFill="1" applyBorder="1" applyAlignment="1">
      <alignment horizontal="center"/>
    </xf>
    <xf numFmtId="0" fontId="20" fillId="2" borderId="2" xfId="0" applyFont="1" applyFill="1" applyBorder="1" applyAlignment="1">
      <alignment horizontal="center"/>
    </xf>
    <xf numFmtId="0" fontId="7" fillId="2" borderId="0" xfId="0" applyFont="1" applyFill="1" applyAlignment="1">
      <alignment horizontal="left" vertical="top" wrapText="1"/>
    </xf>
    <xf numFmtId="0" fontId="3" fillId="2" borderId="1" xfId="0" applyFont="1" applyFill="1" applyBorder="1" applyAlignment="1">
      <alignment horizontal="center"/>
    </xf>
    <xf numFmtId="0" fontId="3" fillId="2" borderId="0" xfId="0" applyFont="1" applyFill="1" applyBorder="1" applyAlignment="1">
      <alignment horizontal="center"/>
    </xf>
    <xf numFmtId="0" fontId="27" fillId="2" borderId="1" xfId="0" applyFont="1" applyFill="1" applyBorder="1" applyAlignment="1">
      <alignment horizontal="center"/>
    </xf>
    <xf numFmtId="0" fontId="14" fillId="2" borderId="0" xfId="0" applyFont="1" applyFill="1" applyBorder="1"/>
    <xf numFmtId="0" fontId="26" fillId="2" borderId="0" xfId="0" applyFont="1" applyFill="1" applyBorder="1" applyAlignment="1">
      <alignment horizontal="center"/>
    </xf>
    <xf numFmtId="0" fontId="20" fillId="0" borderId="0" xfId="0" applyFont="1" applyFill="1"/>
    <xf numFmtId="164" fontId="20" fillId="2" borderId="1" xfId="0" applyNumberFormat="1" applyFont="1" applyFill="1" applyBorder="1" applyAlignment="1">
      <alignment horizontal="center"/>
    </xf>
    <xf numFmtId="0" fontId="20" fillId="0" borderId="1" xfId="0" applyFont="1" applyFill="1" applyBorder="1" applyAlignment="1">
      <alignment horizontal="center"/>
    </xf>
    <xf numFmtId="0" fontId="12" fillId="0"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5</xdr:col>
      <xdr:colOff>123465</xdr:colOff>
      <xdr:row>8</xdr:row>
      <xdr:rowOff>59531</xdr:rowOff>
    </xdr:from>
    <xdr:to>
      <xdr:col>6</xdr:col>
      <xdr:colOff>672703</xdr:colOff>
      <xdr:row>13</xdr:row>
      <xdr:rowOff>21431</xdr:rowOff>
    </xdr:to>
    <xdr:grpSp>
      <xdr:nvGrpSpPr>
        <xdr:cNvPr id="23" name="Grupo 22">
          <a:extLst>
            <a:ext uri="{FF2B5EF4-FFF2-40B4-BE49-F238E27FC236}">
              <a16:creationId xmlns:a16="http://schemas.microsoft.com/office/drawing/2014/main" id="{00000000-0008-0000-0000-000017000000}"/>
            </a:ext>
          </a:extLst>
        </xdr:cNvPr>
        <xdr:cNvGrpSpPr/>
      </xdr:nvGrpSpPr>
      <xdr:grpSpPr>
        <a:xfrm>
          <a:off x="4384160" y="1620702"/>
          <a:ext cx="1789811" cy="914400"/>
          <a:chOff x="4314465" y="1619250"/>
          <a:chExt cx="1787488" cy="914400"/>
        </a:xfrm>
      </xdr:grpSpPr>
      <xdr:sp macro="" textlink="">
        <xdr:nvSpPr>
          <xdr:cNvPr id="22" name="Rectángulo 21">
            <a:extLst>
              <a:ext uri="{FF2B5EF4-FFF2-40B4-BE49-F238E27FC236}">
                <a16:creationId xmlns:a16="http://schemas.microsoft.com/office/drawing/2014/main" id="{00000000-0008-0000-0000-000016000000}"/>
              </a:ext>
            </a:extLst>
          </xdr:cNvPr>
          <xdr:cNvSpPr/>
        </xdr:nvSpPr>
        <xdr:spPr>
          <a:xfrm>
            <a:off x="4822031" y="2194322"/>
            <a:ext cx="450056" cy="3393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sp macro="" textlink="">
        <xdr:nvSpPr>
          <xdr:cNvPr id="21" name="Rectángulo 20">
            <a:extLst>
              <a:ext uri="{FF2B5EF4-FFF2-40B4-BE49-F238E27FC236}">
                <a16:creationId xmlns:a16="http://schemas.microsoft.com/office/drawing/2014/main" id="{00000000-0008-0000-0000-000015000000}"/>
              </a:ext>
            </a:extLst>
          </xdr:cNvPr>
          <xdr:cNvSpPr/>
        </xdr:nvSpPr>
        <xdr:spPr>
          <a:xfrm>
            <a:off x="5361385" y="2172891"/>
            <a:ext cx="740568" cy="3393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sp macro="" textlink="">
        <xdr:nvSpPr>
          <xdr:cNvPr id="20" name="Rectángulo 19">
            <a:extLst>
              <a:ext uri="{FF2B5EF4-FFF2-40B4-BE49-F238E27FC236}">
                <a16:creationId xmlns:a16="http://schemas.microsoft.com/office/drawing/2014/main" id="{00000000-0008-0000-0000-000014000000}"/>
              </a:ext>
            </a:extLst>
          </xdr:cNvPr>
          <xdr:cNvSpPr/>
        </xdr:nvSpPr>
        <xdr:spPr>
          <a:xfrm>
            <a:off x="5036344" y="1619250"/>
            <a:ext cx="910828" cy="541734"/>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clrChange>
              <a:clrFrom>
                <a:srgbClr val="FFFFFF"/>
              </a:clrFrom>
              <a:clrTo>
                <a:srgbClr val="FFFFFF">
                  <a:alpha val="0"/>
                </a:srgbClr>
              </a:clrTo>
            </a:clrChange>
          </a:blip>
          <a:srcRect l="17626"/>
          <a:stretch/>
        </xdr:blipFill>
        <xdr:spPr>
          <a:xfrm>
            <a:off x="4314465" y="1698799"/>
            <a:ext cx="1741034" cy="758992"/>
          </a:xfrm>
          <a:prstGeom prst="rect">
            <a:avLst/>
          </a:prstGeom>
        </xdr:spPr>
      </xdr:pic>
    </xdr:grpSp>
    <xdr:clientData/>
  </xdr:twoCellAnchor>
  <xdr:twoCellAnchor>
    <xdr:from>
      <xdr:col>5</xdr:col>
      <xdr:colOff>943207</xdr:colOff>
      <xdr:row>8</xdr:row>
      <xdr:rowOff>130097</xdr:rowOff>
    </xdr:from>
    <xdr:to>
      <xdr:col>6</xdr:col>
      <xdr:colOff>376354</xdr:colOff>
      <xdr:row>11</xdr:row>
      <xdr:rowOff>32524</xdr:rowOff>
    </xdr:to>
    <xdr:sp macro="" textlink="">
      <xdr:nvSpPr>
        <xdr:cNvPr id="4" name="Rectángulo 3">
          <a:extLst>
            <a:ext uri="{FF2B5EF4-FFF2-40B4-BE49-F238E27FC236}">
              <a16:creationId xmlns:a16="http://schemas.microsoft.com/office/drawing/2014/main" id="{A73362C9-0C5B-4A12-8D99-CDD7FF22261D}"/>
            </a:ext>
          </a:extLst>
        </xdr:cNvPr>
        <xdr:cNvSpPr/>
      </xdr:nvSpPr>
      <xdr:spPr>
        <a:xfrm>
          <a:off x="5134207" y="1691268"/>
          <a:ext cx="673720" cy="473927"/>
        </a:xfrm>
        <a:prstGeom prst="rect">
          <a:avLst/>
        </a:prstGeom>
        <a:solidFill>
          <a:schemeClr val="accent1">
            <a:alpha val="24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4</xdr:col>
      <xdr:colOff>581399</xdr:colOff>
      <xdr:row>20</xdr:row>
      <xdr:rowOff>141514</xdr:rowOff>
    </xdr:from>
    <xdr:to>
      <xdr:col>5</xdr:col>
      <xdr:colOff>555171</xdr:colOff>
      <xdr:row>23</xdr:row>
      <xdr:rowOff>966</xdr:rowOff>
    </xdr:to>
    <mc:AlternateContent xmlns:mc="http://schemas.openxmlformats.org/markup-compatibility/2006" xmlns:a14="http://schemas.microsoft.com/office/drawing/2010/main">
      <mc:Choice Requires="a14">
        <xdr:sp macro="" textlink="">
          <xdr:nvSpPr>
            <xdr:cNvPr id="3" name="Object 1">
              <a:extLst>
                <a:ext uri="{63B3BB69-23CF-44E3-9099-C40C66FF867C}">
                  <a14:compatExt spid="_x0000_s1025"/>
                </a:ext>
                <a:ext uri="{FF2B5EF4-FFF2-40B4-BE49-F238E27FC236}">
                  <a16:creationId xmlns:a16="http://schemas.microsoft.com/office/drawing/2014/main" id="{00000000-0008-0000-0000-000003000000}"/>
                </a:ext>
              </a:extLst>
            </xdr:cNvPr>
            <xdr:cNvSpPr txBox="1"/>
          </xdr:nvSpPr>
          <xdr:spPr>
            <a:xfrm>
              <a:off x="3721928" y="4103914"/>
              <a:ext cx="735772" cy="430952"/>
            </a:xfrm>
            <a:prstGeom prst="rect">
              <a:avLst/>
            </a:prstGeom>
          </xdr:spPr>
          <xdr:txBody>
            <a:bodyPr vertOverflow="clip" horzOverflow="clip" wrap="square">
              <a:spAutoFit/>
            </a:bodyPr>
            <a:lstStyle/>
            <a:p>
              <a:pPr/>
              <a14:m>
                <m:oMathPara xmlns:m="http://schemas.openxmlformats.org/officeDocument/2006/math">
                  <m:oMathParaPr>
                    <m:jc m:val="centerGroup"/>
                  </m:oMathParaPr>
                  <m:oMath xmlns:m="http://schemas.openxmlformats.org/officeDocument/2006/math">
                    <m:r>
                      <a:rPr lang="es-PE" i="1">
                        <a:solidFill>
                          <a:srgbClr val="000000"/>
                        </a:solidFill>
                        <a:latin typeface="Cambria Math" panose="02040503050406030204" pitchFamily="18" charset="0"/>
                      </a:rPr>
                      <m:t>𝐷</m:t>
                    </m:r>
                    <m:r>
                      <a:rPr lang="es-PE" i="1">
                        <a:solidFill>
                          <a:srgbClr val="000000"/>
                        </a:solidFill>
                        <a:latin typeface="Cambria Math" panose="02040503050406030204" pitchFamily="18" charset="0"/>
                      </a:rPr>
                      <m:t>=</m:t>
                    </m:r>
                    <m:f>
                      <m:fPr>
                        <m:ctrlPr>
                          <a:rPr lang="es-PE" i="1">
                            <a:solidFill>
                              <a:srgbClr val="000000"/>
                            </a:solidFill>
                            <a:latin typeface="Cambria Math" panose="02040503050406030204" pitchFamily="18" charset="0"/>
                          </a:rPr>
                        </m:ctrlPr>
                      </m:fPr>
                      <m:num>
                        <m:sSup>
                          <m:sSupPr>
                            <m:ctrlPr>
                              <a:rPr lang="es-PE" i="1">
                                <a:solidFill>
                                  <a:srgbClr val="000000"/>
                                </a:solidFill>
                                <a:latin typeface="Cambria Math" panose="02040503050406030204" pitchFamily="18" charset="0"/>
                              </a:rPr>
                            </m:ctrlPr>
                          </m:sSupPr>
                          <m:e>
                            <m:r>
                              <a:rPr lang="es-ES" b="0" i="1">
                                <a:solidFill>
                                  <a:srgbClr val="000000"/>
                                </a:solidFill>
                                <a:latin typeface="Cambria Math" panose="02040503050406030204" pitchFamily="18" charset="0"/>
                              </a:rPr>
                              <m:t>𝑒</m:t>
                            </m:r>
                          </m:e>
                          <m:sup>
                            <m:r>
                              <a:rPr lang="es-PE" i="1">
                                <a:solidFill>
                                  <a:srgbClr val="000000"/>
                                </a:solidFill>
                                <a:latin typeface="Cambria Math" panose="02040503050406030204" pitchFamily="18" charset="0"/>
                              </a:rPr>
                              <m:t>2</m:t>
                            </m:r>
                          </m:sup>
                        </m:sSup>
                      </m:num>
                      <m:den>
                        <m:r>
                          <a:rPr lang="es-PE" i="1">
                            <a:solidFill>
                              <a:srgbClr val="000000"/>
                            </a:solidFill>
                            <a:latin typeface="Cambria Math" panose="02040503050406030204" pitchFamily="18" charset="0"/>
                          </a:rPr>
                          <m:t>4</m:t>
                        </m:r>
                      </m:den>
                    </m:f>
                  </m:oMath>
                </m:oMathPara>
              </a14:m>
              <a:endParaRPr lang="es-PE"/>
            </a:p>
          </xdr:txBody>
        </xdr:sp>
      </mc:Choice>
      <mc:Fallback xmlns="">
        <xdr:sp macro="" textlink="">
          <xdr:nvSpPr>
            <xdr:cNvPr id="3" name="Object 1">
              <a:extLst>
                <a:ext uri="{63B3BB69-23CF-44E3-9099-C40C66FF867C}">
                  <a14:compatExt xmlns:a14="http://schemas.microsoft.com/office/drawing/2010/main" spid="_x0000_s1025"/>
                </a:ext>
                <a:ext uri="{FF2B5EF4-FFF2-40B4-BE49-F238E27FC236}">
                  <a16:creationId xmlns:a16="http://schemas.microsoft.com/office/drawing/2014/main" id="{00000000-0008-0000-0200-000003000000}"/>
                </a:ext>
              </a:extLst>
            </xdr:cNvPr>
            <xdr:cNvSpPr txBox="1"/>
          </xdr:nvSpPr>
          <xdr:spPr>
            <a:xfrm>
              <a:off x="3721928" y="4103914"/>
              <a:ext cx="735772" cy="430952"/>
            </a:xfrm>
            <a:prstGeom prst="rect">
              <a:avLst/>
            </a:prstGeom>
          </xdr:spPr>
          <xdr:txBody>
            <a:bodyPr vertOverflow="clip" horzOverflow="clip" wrap="square">
              <a:spAutoFit/>
            </a:bodyPr>
            <a:lstStyle/>
            <a:p>
              <a:pPr/>
              <a:r>
                <a:rPr lang="es-PE" i="0">
                  <a:solidFill>
                    <a:srgbClr val="000000"/>
                  </a:solidFill>
                  <a:latin typeface="Cambria Math" panose="02040503050406030204" pitchFamily="18" charset="0"/>
                </a:rPr>
                <a:t>𝐷=</a:t>
              </a:r>
              <a:r>
                <a:rPr lang="es-ES" b="0" i="0">
                  <a:solidFill>
                    <a:srgbClr val="000000"/>
                  </a:solidFill>
                  <a:latin typeface="Cambria Math" panose="02040503050406030204" pitchFamily="18" charset="0"/>
                </a:rPr>
                <a:t>𝑒</a:t>
              </a:r>
              <a:r>
                <a:rPr lang="es-PE" b="0" i="0">
                  <a:solidFill>
                    <a:srgbClr val="000000"/>
                  </a:solidFill>
                  <a:latin typeface="Cambria Math" panose="02040503050406030204" pitchFamily="18" charset="0"/>
                </a:rPr>
                <a:t>^</a:t>
              </a:r>
              <a:r>
                <a:rPr lang="es-PE" i="0">
                  <a:solidFill>
                    <a:srgbClr val="000000"/>
                  </a:solidFill>
                  <a:latin typeface="Cambria Math" panose="02040503050406030204" pitchFamily="18" charset="0"/>
                </a:rPr>
                <a:t>2/4</a:t>
              </a:r>
              <a:endParaRPr lang="es-PE"/>
            </a:p>
          </xdr:txBody>
        </xdr:sp>
      </mc:Fallback>
    </mc:AlternateContent>
    <xdr:clientData/>
  </xdr:twoCellAnchor>
  <xdr:twoCellAnchor>
    <xdr:from>
      <xdr:col>5</xdr:col>
      <xdr:colOff>97573</xdr:colOff>
      <xdr:row>19</xdr:row>
      <xdr:rowOff>18587</xdr:rowOff>
    </xdr:from>
    <xdr:to>
      <xdr:col>5</xdr:col>
      <xdr:colOff>1133707</xdr:colOff>
      <xdr:row>19</xdr:row>
      <xdr:rowOff>185855</xdr:rowOff>
    </xdr:to>
    <xdr:sp macro="" textlink="">
      <xdr:nvSpPr>
        <xdr:cNvPr id="9" name="Rectángulo 8">
          <a:extLst>
            <a:ext uri="{FF2B5EF4-FFF2-40B4-BE49-F238E27FC236}">
              <a16:creationId xmlns:a16="http://schemas.microsoft.com/office/drawing/2014/main" id="{2E94FC30-28A6-4C8F-95EB-E98FB66277B5}"/>
            </a:ext>
          </a:extLst>
        </xdr:cNvPr>
        <xdr:cNvSpPr/>
      </xdr:nvSpPr>
      <xdr:spPr>
        <a:xfrm>
          <a:off x="4288573" y="3791416"/>
          <a:ext cx="1036134" cy="167268"/>
        </a:xfrm>
        <a:prstGeom prst="rect">
          <a:avLst/>
        </a:prstGeom>
        <a:solidFill>
          <a:schemeClr val="accent1">
            <a:alpha val="24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6</xdr:col>
      <xdr:colOff>51109</xdr:colOff>
      <xdr:row>19</xdr:row>
      <xdr:rowOff>17657</xdr:rowOff>
    </xdr:from>
    <xdr:to>
      <xdr:col>6</xdr:col>
      <xdr:colOff>737838</xdr:colOff>
      <xdr:row>19</xdr:row>
      <xdr:rowOff>184925</xdr:rowOff>
    </xdr:to>
    <xdr:sp macro="" textlink="">
      <xdr:nvSpPr>
        <xdr:cNvPr id="10" name="Rectángulo 9">
          <a:extLst>
            <a:ext uri="{FF2B5EF4-FFF2-40B4-BE49-F238E27FC236}">
              <a16:creationId xmlns:a16="http://schemas.microsoft.com/office/drawing/2014/main" id="{DD52966D-29B6-4DBD-99AD-49333219835E}"/>
            </a:ext>
          </a:extLst>
        </xdr:cNvPr>
        <xdr:cNvSpPr/>
      </xdr:nvSpPr>
      <xdr:spPr>
        <a:xfrm>
          <a:off x="5482682" y="3790486"/>
          <a:ext cx="686729" cy="167268"/>
        </a:xfrm>
        <a:prstGeom prst="rect">
          <a:avLst/>
        </a:prstGeom>
        <a:solidFill>
          <a:srgbClr val="92D050">
            <a:alpha val="24000"/>
          </a:srgbClr>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5</xdr:col>
      <xdr:colOff>1203403</xdr:colOff>
      <xdr:row>11</xdr:row>
      <xdr:rowOff>63189</xdr:rowOff>
    </xdr:from>
    <xdr:to>
      <xdr:col>6</xdr:col>
      <xdr:colOff>662568</xdr:colOff>
      <xdr:row>12</xdr:row>
      <xdr:rowOff>153328</xdr:rowOff>
    </xdr:to>
    <xdr:sp macro="" textlink="">
      <xdr:nvSpPr>
        <xdr:cNvPr id="11" name="Rectángulo 10">
          <a:extLst>
            <a:ext uri="{FF2B5EF4-FFF2-40B4-BE49-F238E27FC236}">
              <a16:creationId xmlns:a16="http://schemas.microsoft.com/office/drawing/2014/main" id="{C83FF344-31E8-46E6-B903-DE5A9790F525}"/>
            </a:ext>
          </a:extLst>
        </xdr:cNvPr>
        <xdr:cNvSpPr/>
      </xdr:nvSpPr>
      <xdr:spPr>
        <a:xfrm>
          <a:off x="5394403" y="2195860"/>
          <a:ext cx="699738" cy="280639"/>
        </a:xfrm>
        <a:prstGeom prst="rect">
          <a:avLst/>
        </a:prstGeom>
        <a:solidFill>
          <a:srgbClr val="92D050">
            <a:alpha val="24000"/>
          </a:srgbClr>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5</xdr:col>
      <xdr:colOff>673720</xdr:colOff>
      <xdr:row>11</xdr:row>
      <xdr:rowOff>77127</xdr:rowOff>
    </xdr:from>
    <xdr:to>
      <xdr:col>5</xdr:col>
      <xdr:colOff>1096537</xdr:colOff>
      <xdr:row>12</xdr:row>
      <xdr:rowOff>153328</xdr:rowOff>
    </xdr:to>
    <xdr:sp macro="" textlink="">
      <xdr:nvSpPr>
        <xdr:cNvPr id="12" name="Rectángulo 11">
          <a:extLst>
            <a:ext uri="{FF2B5EF4-FFF2-40B4-BE49-F238E27FC236}">
              <a16:creationId xmlns:a16="http://schemas.microsoft.com/office/drawing/2014/main" id="{6C5F12CC-33E7-4755-9EAC-7CB26439CFD6}"/>
            </a:ext>
          </a:extLst>
        </xdr:cNvPr>
        <xdr:cNvSpPr/>
      </xdr:nvSpPr>
      <xdr:spPr>
        <a:xfrm>
          <a:off x="4864720" y="2209798"/>
          <a:ext cx="422817" cy="266701"/>
        </a:xfrm>
        <a:prstGeom prst="rect">
          <a:avLst/>
        </a:prstGeom>
        <a:solidFill>
          <a:srgbClr val="FF0000">
            <a:alpha val="24000"/>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2</xdr:col>
      <xdr:colOff>73413</xdr:colOff>
      <xdr:row>24</xdr:row>
      <xdr:rowOff>18586</xdr:rowOff>
    </xdr:from>
    <xdr:to>
      <xdr:col>3</xdr:col>
      <xdr:colOff>9293</xdr:colOff>
      <xdr:row>24</xdr:row>
      <xdr:rowOff>213732</xdr:rowOff>
    </xdr:to>
    <xdr:sp macro="" textlink="">
      <xdr:nvSpPr>
        <xdr:cNvPr id="13" name="Rectángulo 12">
          <a:extLst>
            <a:ext uri="{FF2B5EF4-FFF2-40B4-BE49-F238E27FC236}">
              <a16:creationId xmlns:a16="http://schemas.microsoft.com/office/drawing/2014/main" id="{80E9CCA7-BB96-41C0-A25C-72B43D9EBE02}"/>
            </a:ext>
          </a:extLst>
        </xdr:cNvPr>
        <xdr:cNvSpPr/>
      </xdr:nvSpPr>
      <xdr:spPr>
        <a:xfrm>
          <a:off x="1996998" y="4771793"/>
          <a:ext cx="725758" cy="195146"/>
        </a:xfrm>
        <a:prstGeom prst="rect">
          <a:avLst/>
        </a:prstGeom>
        <a:solidFill>
          <a:srgbClr val="FF0000">
            <a:alpha val="24000"/>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352425</xdr:colOff>
          <xdr:row>25</xdr:row>
          <xdr:rowOff>95250</xdr:rowOff>
        </xdr:from>
        <xdr:to>
          <xdr:col>7</xdr:col>
          <xdr:colOff>114300</xdr:colOff>
          <xdr:row>30</xdr:row>
          <xdr:rowOff>161925</xdr:rowOff>
        </xdr:to>
        <xdr:sp macro="" textlink="">
          <xdr:nvSpPr>
            <xdr:cNvPr id="5122" name="Object 2" hidden="1">
              <a:extLst>
                <a:ext uri="{63B3BB69-23CF-44E3-9099-C40C66FF867C}">
                  <a14:compatExt spid="_x0000_s5122"/>
                </a:ext>
                <a:ext uri="{FF2B5EF4-FFF2-40B4-BE49-F238E27FC236}">
                  <a16:creationId xmlns:a16="http://schemas.microsoft.com/office/drawing/2014/main" id="{00000000-0008-0000-0100-000002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5</xdr:col>
      <xdr:colOff>295275</xdr:colOff>
      <xdr:row>21</xdr:row>
      <xdr:rowOff>104775</xdr:rowOff>
    </xdr:from>
    <xdr:to>
      <xdr:col>6</xdr:col>
      <xdr:colOff>317079</xdr:colOff>
      <xdr:row>23</xdr:row>
      <xdr:rowOff>138376</xdr:rowOff>
    </xdr:to>
    <mc:AlternateContent xmlns:mc="http://schemas.openxmlformats.org/markup-compatibility/2006" xmlns:a14="http://schemas.microsoft.com/office/drawing/2010/main">
      <mc:Choice Requires="a14">
        <xdr:sp macro="" textlink="">
          <xdr:nvSpPr>
            <xdr:cNvPr id="2" name="Object 1">
              <a:extLst>
                <a:ext uri="{63B3BB69-23CF-44E3-9099-C40C66FF867C}">
                  <a14:compatExt spid="_x0000_s5121"/>
                </a:ext>
                <a:ext uri="{FF2B5EF4-FFF2-40B4-BE49-F238E27FC236}">
                  <a16:creationId xmlns:a16="http://schemas.microsoft.com/office/drawing/2014/main" id="{00000000-0008-0000-0100-000002000000}"/>
                </a:ext>
              </a:extLst>
            </xdr:cNvPr>
            <xdr:cNvSpPr txBox="1"/>
          </xdr:nvSpPr>
          <xdr:spPr>
            <a:xfrm>
              <a:off x="5181600" y="4943475"/>
              <a:ext cx="783804" cy="414601"/>
            </a:xfrm>
            <a:prstGeom prst="rect">
              <a:avLst/>
            </a:prstGeom>
          </xdr:spPr>
          <xdr:txBody>
            <a:bodyPr vertOverflow="clip" horzOverflow="clip" wrap="none">
              <a:spAutoFit/>
            </a:bodyPr>
            <a:lstStyle/>
            <a:p>
              <a:pPr/>
              <a14:m>
                <m:oMathPara xmlns:m="http://schemas.openxmlformats.org/officeDocument/2006/math">
                  <m:oMathParaPr>
                    <m:jc m:val="centerGroup"/>
                  </m:oMathParaPr>
                  <m:oMath xmlns:m="http://schemas.openxmlformats.org/officeDocument/2006/math">
                    <m:r>
                      <a:rPr lang="es-PE" i="1">
                        <a:solidFill>
                          <a:srgbClr val="000000"/>
                        </a:solidFill>
                        <a:latin typeface="Cambria Math" panose="02040503050406030204" pitchFamily="18" charset="0"/>
                      </a:rPr>
                      <m:t>𝑉</m:t>
                    </m:r>
                    <m:r>
                      <a:rPr lang="es-PE" i="1">
                        <a:solidFill>
                          <a:srgbClr val="000000"/>
                        </a:solidFill>
                        <a:latin typeface="Cambria Math" panose="02040503050406030204" pitchFamily="18" charset="0"/>
                      </a:rPr>
                      <m:t>=</m:t>
                    </m:r>
                    <m:sSup>
                      <m:sSupPr>
                        <m:ctrlPr>
                          <a:rPr lang="es-PE" i="1">
                            <a:solidFill>
                              <a:srgbClr val="000000"/>
                            </a:solidFill>
                            <a:latin typeface="Cambria Math" panose="02040503050406030204" pitchFamily="18" charset="0"/>
                          </a:rPr>
                        </m:ctrlPr>
                      </m:sSupPr>
                      <m:e>
                        <m:d>
                          <m:dPr>
                            <m:ctrlPr>
                              <a:rPr lang="es-PE" i="1">
                                <a:solidFill>
                                  <a:srgbClr val="000000"/>
                                </a:solidFill>
                                <a:latin typeface="Cambria Math" panose="02040503050406030204" pitchFamily="18" charset="0"/>
                              </a:rPr>
                            </m:ctrlPr>
                          </m:dPr>
                          <m:e>
                            <m:f>
                              <m:fPr>
                                <m:ctrlPr>
                                  <a:rPr lang="es-PE" i="1">
                                    <a:solidFill>
                                      <a:srgbClr val="000000"/>
                                    </a:solidFill>
                                    <a:latin typeface="Cambria Math" panose="02040503050406030204" pitchFamily="18" charset="0"/>
                                  </a:rPr>
                                </m:ctrlPr>
                              </m:fPr>
                              <m:num>
                                <m:r>
                                  <a:rPr lang="es-ES" b="0" i="1">
                                    <a:solidFill>
                                      <a:srgbClr val="000000"/>
                                    </a:solidFill>
                                    <a:latin typeface="Cambria Math" panose="02040503050406030204" pitchFamily="18" charset="0"/>
                                  </a:rPr>
                                  <m:t>𝑒</m:t>
                                </m:r>
                              </m:num>
                              <m:den>
                                <m:r>
                                  <a:rPr lang="es-PE" i="1">
                                    <a:solidFill>
                                      <a:srgbClr val="000000"/>
                                    </a:solidFill>
                                    <a:latin typeface="Cambria Math" panose="02040503050406030204" pitchFamily="18" charset="0"/>
                                  </a:rPr>
                                  <m:t>𝑍</m:t>
                                </m:r>
                              </m:den>
                            </m:f>
                          </m:e>
                        </m:d>
                      </m:e>
                      <m:sup>
                        <m:r>
                          <a:rPr lang="es-PE" i="1">
                            <a:solidFill>
                              <a:srgbClr val="000000"/>
                            </a:solidFill>
                            <a:latin typeface="Cambria Math" panose="02040503050406030204" pitchFamily="18" charset="0"/>
                          </a:rPr>
                          <m:t>2</m:t>
                        </m:r>
                      </m:sup>
                    </m:sSup>
                  </m:oMath>
                </m:oMathPara>
              </a14:m>
              <a:endParaRPr lang="es-PE"/>
            </a:p>
          </xdr:txBody>
        </xdr:sp>
      </mc:Choice>
      <mc:Fallback xmlns="">
        <xdr:sp macro="" textlink="">
          <xdr:nvSpPr>
            <xdr:cNvPr id="2" name="Object 1">
              <a:extLst>
                <a:ext uri="{63B3BB69-23CF-44E3-9099-C40C66FF867C}">
                  <a14:compatExt xmlns:a14="http://schemas.microsoft.com/office/drawing/2010/main" spid="_x0000_s5121"/>
                </a:ext>
                <a:ext uri="{FF2B5EF4-FFF2-40B4-BE49-F238E27FC236}">
                  <a16:creationId xmlns:a16="http://schemas.microsoft.com/office/drawing/2014/main" id="{00000000-0008-0000-0300-000002000000}"/>
                </a:ext>
              </a:extLst>
            </xdr:cNvPr>
            <xdr:cNvSpPr txBox="1"/>
          </xdr:nvSpPr>
          <xdr:spPr>
            <a:xfrm>
              <a:off x="5181600" y="4943475"/>
              <a:ext cx="783804" cy="414601"/>
            </a:xfrm>
            <a:prstGeom prst="rect">
              <a:avLst/>
            </a:prstGeom>
          </xdr:spPr>
          <xdr:txBody>
            <a:bodyPr vertOverflow="clip" horzOverflow="clip" wrap="none">
              <a:spAutoFit/>
            </a:bodyPr>
            <a:lstStyle/>
            <a:p>
              <a:pPr/>
              <a:r>
                <a:rPr lang="es-PE" i="0">
                  <a:solidFill>
                    <a:srgbClr val="000000"/>
                  </a:solidFill>
                  <a:latin typeface="Cambria Math" panose="02040503050406030204" pitchFamily="18" charset="0"/>
                </a:rPr>
                <a:t>𝑉=(</a:t>
              </a:r>
              <a:r>
                <a:rPr lang="es-ES" b="0" i="0">
                  <a:solidFill>
                    <a:srgbClr val="000000"/>
                  </a:solidFill>
                  <a:latin typeface="Cambria Math" panose="02040503050406030204" pitchFamily="18" charset="0"/>
                </a:rPr>
                <a:t>𝑒</a:t>
              </a:r>
              <a:r>
                <a:rPr lang="es-PE" b="0" i="0">
                  <a:solidFill>
                    <a:srgbClr val="000000"/>
                  </a:solidFill>
                  <a:latin typeface="Cambria Math" panose="02040503050406030204" pitchFamily="18" charset="0"/>
                </a:rPr>
                <a:t>/</a:t>
              </a:r>
              <a:r>
                <a:rPr lang="es-PE" i="0">
                  <a:solidFill>
                    <a:srgbClr val="000000"/>
                  </a:solidFill>
                  <a:latin typeface="Cambria Math" panose="02040503050406030204" pitchFamily="18" charset="0"/>
                </a:rPr>
                <a:t>𝑍)^2</a:t>
              </a:r>
              <a:endParaRPr lang="es-PE"/>
            </a:p>
          </xdr:txBody>
        </xdr:sp>
      </mc:Fallback>
    </mc:AlternateContent>
    <xdr:clientData/>
  </xdr:twoCellAnchor>
  <mc:AlternateContent xmlns:mc="http://schemas.openxmlformats.org/markup-compatibility/2006">
    <mc:Choice xmlns:a14="http://schemas.microsoft.com/office/drawing/2010/main" Requires="a14">
      <xdr:twoCellAnchor editAs="oneCell">
        <xdr:from>
          <xdr:col>8</xdr:col>
          <xdr:colOff>9525</xdr:colOff>
          <xdr:row>12</xdr:row>
          <xdr:rowOff>28575</xdr:rowOff>
        </xdr:from>
        <xdr:to>
          <xdr:col>8</xdr:col>
          <xdr:colOff>885825</xdr:colOff>
          <xdr:row>12</xdr:row>
          <xdr:rowOff>295275</xdr:rowOff>
        </xdr:to>
        <xdr:sp macro="" textlink="">
          <xdr:nvSpPr>
            <xdr:cNvPr id="5124" name="Object 4" hidden="1">
              <a:extLst>
                <a:ext uri="{63B3BB69-23CF-44E3-9099-C40C66FF867C}">
                  <a14:compatExt spid="_x0000_s5124"/>
                </a:ext>
                <a:ext uri="{FF2B5EF4-FFF2-40B4-BE49-F238E27FC236}">
                  <a16:creationId xmlns:a16="http://schemas.microsoft.com/office/drawing/2014/main" id="{00000000-0008-0000-0100-000004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6</xdr:col>
      <xdr:colOff>142875</xdr:colOff>
      <xdr:row>16</xdr:row>
      <xdr:rowOff>19050</xdr:rowOff>
    </xdr:from>
    <xdr:to>
      <xdr:col>6</xdr:col>
      <xdr:colOff>1019175</xdr:colOff>
      <xdr:row>17</xdr:row>
      <xdr:rowOff>9525</xdr:rowOff>
    </xdr:to>
    <xdr:sp macro="" textlink="">
      <xdr:nvSpPr>
        <xdr:cNvPr id="9" name="Rectángulo 8">
          <a:extLst>
            <a:ext uri="{FF2B5EF4-FFF2-40B4-BE49-F238E27FC236}">
              <a16:creationId xmlns:a16="http://schemas.microsoft.com/office/drawing/2014/main" id="{32B46070-0509-478C-B206-861A3E6A2448}"/>
            </a:ext>
          </a:extLst>
        </xdr:cNvPr>
        <xdr:cNvSpPr/>
      </xdr:nvSpPr>
      <xdr:spPr>
        <a:xfrm>
          <a:off x="5791200" y="3838575"/>
          <a:ext cx="876300" cy="247650"/>
        </a:xfrm>
        <a:prstGeom prst="rect">
          <a:avLst/>
        </a:prstGeom>
        <a:solidFill>
          <a:schemeClr val="accent1">
            <a:alpha val="28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7</xdr:col>
      <xdr:colOff>66675</xdr:colOff>
      <xdr:row>16</xdr:row>
      <xdr:rowOff>19050</xdr:rowOff>
    </xdr:from>
    <xdr:to>
      <xdr:col>7</xdr:col>
      <xdr:colOff>942975</xdr:colOff>
      <xdr:row>17</xdr:row>
      <xdr:rowOff>0</xdr:rowOff>
    </xdr:to>
    <xdr:sp macro="" textlink="">
      <xdr:nvSpPr>
        <xdr:cNvPr id="12" name="Rectángulo 11">
          <a:extLst>
            <a:ext uri="{FF2B5EF4-FFF2-40B4-BE49-F238E27FC236}">
              <a16:creationId xmlns:a16="http://schemas.microsoft.com/office/drawing/2014/main" id="{41724C44-0728-4DDD-92F4-A71837FF765C}"/>
            </a:ext>
          </a:extLst>
        </xdr:cNvPr>
        <xdr:cNvSpPr/>
      </xdr:nvSpPr>
      <xdr:spPr>
        <a:xfrm>
          <a:off x="6896100" y="3838575"/>
          <a:ext cx="876300" cy="238125"/>
        </a:xfrm>
        <a:prstGeom prst="rect">
          <a:avLst/>
        </a:prstGeom>
        <a:solidFill>
          <a:srgbClr val="7030A0">
            <a:alpha val="28000"/>
          </a:srgbClr>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4</xdr:col>
      <xdr:colOff>115662</xdr:colOff>
      <xdr:row>22</xdr:row>
      <xdr:rowOff>9525</xdr:rowOff>
    </xdr:from>
    <xdr:to>
      <xdr:col>5</xdr:col>
      <xdr:colOff>20411</xdr:colOff>
      <xdr:row>23</xdr:row>
      <xdr:rowOff>95250</xdr:rowOff>
    </xdr:to>
    <xdr:sp macro="" textlink="">
      <xdr:nvSpPr>
        <xdr:cNvPr id="14" name="Rectángulo 13">
          <a:extLst>
            <a:ext uri="{FF2B5EF4-FFF2-40B4-BE49-F238E27FC236}">
              <a16:creationId xmlns:a16="http://schemas.microsoft.com/office/drawing/2014/main" id="{BBB27A95-A9AB-4851-A310-1A98F6FB1288}"/>
            </a:ext>
          </a:extLst>
        </xdr:cNvPr>
        <xdr:cNvSpPr/>
      </xdr:nvSpPr>
      <xdr:spPr>
        <a:xfrm>
          <a:off x="4034519" y="5038725"/>
          <a:ext cx="879021" cy="276225"/>
        </a:xfrm>
        <a:prstGeom prst="rect">
          <a:avLst/>
        </a:prstGeom>
        <a:solidFill>
          <a:srgbClr val="FF0000">
            <a:alpha val="28000"/>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6</xdr:col>
      <xdr:colOff>38099</xdr:colOff>
      <xdr:row>26</xdr:row>
      <xdr:rowOff>0</xdr:rowOff>
    </xdr:from>
    <xdr:to>
      <xdr:col>6</xdr:col>
      <xdr:colOff>1076324</xdr:colOff>
      <xdr:row>27</xdr:row>
      <xdr:rowOff>114300</xdr:rowOff>
    </xdr:to>
    <xdr:sp macro="" textlink="">
      <xdr:nvSpPr>
        <xdr:cNvPr id="15" name="Rectángulo 14">
          <a:extLst>
            <a:ext uri="{FF2B5EF4-FFF2-40B4-BE49-F238E27FC236}">
              <a16:creationId xmlns:a16="http://schemas.microsoft.com/office/drawing/2014/main" id="{4E44FD18-435B-4AFC-82AB-C60FBDD06947}"/>
            </a:ext>
          </a:extLst>
        </xdr:cNvPr>
        <xdr:cNvSpPr/>
      </xdr:nvSpPr>
      <xdr:spPr>
        <a:xfrm>
          <a:off x="5686424" y="5791200"/>
          <a:ext cx="1038225" cy="304800"/>
        </a:xfrm>
        <a:prstGeom prst="rect">
          <a:avLst/>
        </a:prstGeom>
        <a:solidFill>
          <a:schemeClr val="accent1">
            <a:alpha val="28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5</xdr:col>
      <xdr:colOff>619125</xdr:colOff>
      <xdr:row>28</xdr:row>
      <xdr:rowOff>104775</xdr:rowOff>
    </xdr:from>
    <xdr:to>
      <xdr:col>6</xdr:col>
      <xdr:colOff>142875</xdr:colOff>
      <xdr:row>30</xdr:row>
      <xdr:rowOff>0</xdr:rowOff>
    </xdr:to>
    <xdr:sp macro="" textlink="">
      <xdr:nvSpPr>
        <xdr:cNvPr id="16" name="Rectángulo 15">
          <a:extLst>
            <a:ext uri="{FF2B5EF4-FFF2-40B4-BE49-F238E27FC236}">
              <a16:creationId xmlns:a16="http://schemas.microsoft.com/office/drawing/2014/main" id="{9272336A-1805-4E76-AC4A-401217D8DC6B}"/>
            </a:ext>
          </a:extLst>
        </xdr:cNvPr>
        <xdr:cNvSpPr/>
      </xdr:nvSpPr>
      <xdr:spPr>
        <a:xfrm>
          <a:off x="5505450" y="6276975"/>
          <a:ext cx="285750" cy="276225"/>
        </a:xfrm>
        <a:prstGeom prst="rect">
          <a:avLst/>
        </a:prstGeom>
        <a:solidFill>
          <a:srgbClr val="FF0000">
            <a:alpha val="28000"/>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6</xdr:col>
      <xdr:colOff>266700</xdr:colOff>
      <xdr:row>27</xdr:row>
      <xdr:rowOff>142875</xdr:rowOff>
    </xdr:from>
    <xdr:to>
      <xdr:col>7</xdr:col>
      <xdr:colOff>38100</xdr:colOff>
      <xdr:row>29</xdr:row>
      <xdr:rowOff>47625</xdr:rowOff>
    </xdr:to>
    <xdr:sp macro="" textlink="">
      <xdr:nvSpPr>
        <xdr:cNvPr id="17" name="Rectángulo 16">
          <a:extLst>
            <a:ext uri="{FF2B5EF4-FFF2-40B4-BE49-F238E27FC236}">
              <a16:creationId xmlns:a16="http://schemas.microsoft.com/office/drawing/2014/main" id="{DFB3D25A-9335-47B2-809C-37E4009A0CC6}"/>
            </a:ext>
          </a:extLst>
        </xdr:cNvPr>
        <xdr:cNvSpPr/>
      </xdr:nvSpPr>
      <xdr:spPr>
        <a:xfrm>
          <a:off x="5915025" y="6124575"/>
          <a:ext cx="952500" cy="285750"/>
        </a:xfrm>
        <a:prstGeom prst="rect">
          <a:avLst/>
        </a:prstGeom>
        <a:solidFill>
          <a:srgbClr val="7030A0">
            <a:alpha val="28000"/>
          </a:srgbClr>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1.bin"/><Relationship Id="rId7"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6" Type="http://schemas.openxmlformats.org/officeDocument/2006/relationships/image" Target="../media/image3.emf"/><Relationship Id="rId5" Type="http://schemas.openxmlformats.org/officeDocument/2006/relationships/oleObject" Target="../embeddings/oleObject2.bin"/><Relationship Id="rId4" Type="http://schemas.openxmlformats.org/officeDocument/2006/relationships/image" Target="../media/image2.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34"/>
  <sheetViews>
    <sheetView topLeftCell="B13" zoomScale="205" zoomScaleNormal="205" workbookViewId="0">
      <selection activeCell="D22" sqref="D22"/>
    </sheetView>
  </sheetViews>
  <sheetFormatPr baseColWidth="10" defaultRowHeight="15" x14ac:dyDescent="0.25"/>
  <cols>
    <col min="1" max="1" width="5" style="1" customWidth="1"/>
    <col min="2" max="2" width="24.85546875" style="1" customWidth="1"/>
    <col min="3" max="3" width="11.85546875" style="1" customWidth="1"/>
    <col min="4" max="4" width="10.7109375" style="1" customWidth="1"/>
    <col min="5" max="5" width="11.42578125" style="1"/>
    <col min="6" max="6" width="18.5703125" style="1" customWidth="1"/>
    <col min="7" max="7" width="11.42578125" style="1"/>
    <col min="8" max="8" width="17.140625" style="1" customWidth="1"/>
    <col min="9" max="16384" width="11.42578125" style="1"/>
  </cols>
  <sheetData>
    <row r="2" spans="2:9" ht="15" customHeight="1" x14ac:dyDescent="0.25">
      <c r="B2" s="44" t="s">
        <v>37</v>
      </c>
      <c r="C2" s="44"/>
      <c r="D2" s="44"/>
      <c r="E2" s="44"/>
      <c r="F2" s="44"/>
      <c r="G2" s="44"/>
      <c r="H2" s="44"/>
      <c r="I2" s="44"/>
    </row>
    <row r="3" spans="2:9" x14ac:dyDescent="0.25">
      <c r="B3" s="44"/>
      <c r="C3" s="44"/>
      <c r="D3" s="44"/>
      <c r="E3" s="44"/>
      <c r="F3" s="44"/>
      <c r="G3" s="44"/>
      <c r="H3" s="44"/>
      <c r="I3" s="44"/>
    </row>
    <row r="4" spans="2:9" x14ac:dyDescent="0.25">
      <c r="B4" s="44"/>
      <c r="C4" s="44"/>
      <c r="D4" s="44"/>
      <c r="E4" s="44"/>
      <c r="F4" s="44"/>
      <c r="G4" s="44"/>
      <c r="H4" s="44"/>
      <c r="I4" s="44"/>
    </row>
    <row r="5" spans="2:9" x14ac:dyDescent="0.25">
      <c r="B5" s="44"/>
      <c r="C5" s="44"/>
      <c r="D5" s="44"/>
      <c r="E5" s="44"/>
      <c r="F5" s="44"/>
      <c r="G5" s="44"/>
      <c r="H5" s="44"/>
      <c r="I5" s="44"/>
    </row>
    <row r="7" spans="2:9" ht="18" x14ac:dyDescent="0.35">
      <c r="B7" s="11" t="s">
        <v>3</v>
      </c>
      <c r="C7" s="11" t="s">
        <v>38</v>
      </c>
      <c r="D7" s="11" t="s">
        <v>39</v>
      </c>
    </row>
    <row r="8" spans="2:9" x14ac:dyDescent="0.25">
      <c r="B8" s="12" t="s">
        <v>2</v>
      </c>
      <c r="C8" s="3">
        <v>6685</v>
      </c>
      <c r="D8" s="3">
        <v>0.65</v>
      </c>
    </row>
    <row r="9" spans="2:9" x14ac:dyDescent="0.25">
      <c r="B9" s="12" t="s">
        <v>0</v>
      </c>
      <c r="C9" s="3">
        <v>518</v>
      </c>
      <c r="D9" s="3">
        <v>0.71</v>
      </c>
    </row>
    <row r="10" spans="2:9" x14ac:dyDescent="0.25">
      <c r="B10" s="12" t="s">
        <v>1</v>
      </c>
      <c r="C10" s="3">
        <v>157</v>
      </c>
      <c r="D10" s="3">
        <v>0.64</v>
      </c>
    </row>
    <row r="11" spans="2:9" x14ac:dyDescent="0.25">
      <c r="B11" s="11" t="s">
        <v>7</v>
      </c>
      <c r="C11" s="11">
        <f>SUM(C8:C10)</f>
        <v>7360</v>
      </c>
      <c r="D11" s="11"/>
    </row>
    <row r="13" spans="2:9" x14ac:dyDescent="0.25">
      <c r="B13" s="13" t="s">
        <v>6</v>
      </c>
    </row>
    <row r="16" spans="2:9" ht="24" x14ac:dyDescent="0.35">
      <c r="B16" s="16" t="s">
        <v>3</v>
      </c>
      <c r="C16" s="15" t="s">
        <v>41</v>
      </c>
      <c r="D16" s="15" t="s">
        <v>42</v>
      </c>
      <c r="E16" s="15" t="s">
        <v>43</v>
      </c>
      <c r="F16" s="16" t="s">
        <v>49</v>
      </c>
      <c r="G16" s="16" t="s">
        <v>44</v>
      </c>
      <c r="H16" s="17" t="s">
        <v>45</v>
      </c>
      <c r="I16" s="16" t="s">
        <v>46</v>
      </c>
    </row>
    <row r="17" spans="2:11" x14ac:dyDescent="0.25">
      <c r="B17" s="18" t="s">
        <v>2</v>
      </c>
      <c r="C17" s="14">
        <v>6685</v>
      </c>
      <c r="D17" s="14">
        <v>0.65</v>
      </c>
      <c r="E17" s="14">
        <f>C17/$C$20</f>
        <v>0.90828804347826086</v>
      </c>
      <c r="F17" s="14">
        <f>C17^2*D17^2/E17</f>
        <v>20787676.000000004</v>
      </c>
      <c r="G17" s="14">
        <f>C17*D17^2</f>
        <v>2824.4125000000004</v>
      </c>
      <c r="H17" s="14">
        <f>E17*C$27</f>
        <v>569.01023746425335</v>
      </c>
      <c r="I17" s="14">
        <f>ROUNDUP(H17,0)</f>
        <v>570</v>
      </c>
      <c r="J17" s="24">
        <f>E17*D$27</f>
        <v>569.49660326086951</v>
      </c>
      <c r="K17" s="25">
        <f>ROUNDUP(J17,0)</f>
        <v>570</v>
      </c>
    </row>
    <row r="18" spans="2:11" x14ac:dyDescent="0.25">
      <c r="B18" s="18" t="s">
        <v>0</v>
      </c>
      <c r="C18" s="14">
        <v>518</v>
      </c>
      <c r="D18" s="14">
        <v>0.71</v>
      </c>
      <c r="E18" s="14">
        <f>C18/$C$20</f>
        <v>7.0380434782608692E-2</v>
      </c>
      <c r="F18" s="14">
        <f t="shared" ref="F18:F19" si="0">C18^2*D18^2/E18</f>
        <v>1921871.1679999998</v>
      </c>
      <c r="G18" s="14">
        <f t="shared" ref="G18:G19" si="1">C18*D18^2</f>
        <v>261.12380000000002</v>
      </c>
      <c r="H18" s="14">
        <f t="shared" ref="H18:H19" si="2">E18*C$27</f>
        <v>44.090845625502354</v>
      </c>
      <c r="I18" s="14">
        <f t="shared" ref="I18:I19" si="3">ROUNDUP(H18,0)</f>
        <v>45</v>
      </c>
      <c r="J18" s="24">
        <f t="shared" ref="J18:J19" si="4">E18*D$27</f>
        <v>44.12853260869565</v>
      </c>
      <c r="K18" s="25">
        <f>ROUNDUP(J18,0)</f>
        <v>45</v>
      </c>
    </row>
    <row r="19" spans="2:11" x14ac:dyDescent="0.25">
      <c r="B19" s="18" t="s">
        <v>1</v>
      </c>
      <c r="C19" s="14">
        <v>157</v>
      </c>
      <c r="D19" s="14">
        <v>0.64</v>
      </c>
      <c r="E19" s="14">
        <f>C19/$C$20</f>
        <v>2.1331521739130433E-2</v>
      </c>
      <c r="F19" s="14">
        <f t="shared" si="0"/>
        <v>473300.99200000003</v>
      </c>
      <c r="G19" s="14">
        <f t="shared" si="1"/>
        <v>64.307200000000009</v>
      </c>
      <c r="H19" s="14">
        <f t="shared" si="2"/>
        <v>13.363441627806697</v>
      </c>
      <c r="I19" s="14">
        <f t="shared" si="3"/>
        <v>14</v>
      </c>
      <c r="J19" s="24">
        <f t="shared" si="4"/>
        <v>13.374864130434782</v>
      </c>
      <c r="K19" s="25">
        <f>ROUNDUP(J19,0)</f>
        <v>14</v>
      </c>
    </row>
    <row r="20" spans="2:11" x14ac:dyDescent="0.25">
      <c r="B20" s="19" t="s">
        <v>7</v>
      </c>
      <c r="C20" s="15">
        <f>SUM(C17:C19)</f>
        <v>7360</v>
      </c>
      <c r="D20" s="49"/>
      <c r="E20" s="15">
        <f t="shared" ref="E20:K20" si="5">SUM(E17:E19)</f>
        <v>1</v>
      </c>
      <c r="F20" s="15">
        <f>SUM(F17:F19)</f>
        <v>23182848.160000004</v>
      </c>
      <c r="G20" s="15">
        <f>SUM(G17:G19)</f>
        <v>3149.8435000000004</v>
      </c>
      <c r="H20" s="15">
        <f t="shared" si="5"/>
        <v>626.46452471756231</v>
      </c>
      <c r="I20" s="15">
        <f t="shared" si="5"/>
        <v>629</v>
      </c>
      <c r="J20" s="24">
        <f t="shared" si="5"/>
        <v>626.99999999999989</v>
      </c>
      <c r="K20" s="50">
        <f t="shared" si="5"/>
        <v>629</v>
      </c>
    </row>
    <row r="21" spans="2:11" x14ac:dyDescent="0.25">
      <c r="B21" s="24"/>
      <c r="C21" s="24"/>
      <c r="D21" s="24"/>
      <c r="E21" s="24"/>
      <c r="F21" s="24"/>
      <c r="G21" s="24"/>
      <c r="H21" s="24"/>
      <c r="I21" s="24"/>
    </row>
    <row r="22" spans="2:11" x14ac:dyDescent="0.25">
      <c r="B22" s="21" t="s">
        <v>5</v>
      </c>
      <c r="C22" s="20">
        <f>C20</f>
        <v>7360</v>
      </c>
      <c r="D22" s="24"/>
      <c r="E22" s="20"/>
      <c r="F22" s="24"/>
      <c r="G22" s="24"/>
      <c r="H22" s="24"/>
      <c r="I22" s="24"/>
    </row>
    <row r="23" spans="2:11" x14ac:dyDescent="0.25">
      <c r="B23" s="21" t="s">
        <v>40</v>
      </c>
      <c r="C23" s="20">
        <v>0.05</v>
      </c>
      <c r="D23" s="24"/>
      <c r="E23" s="20"/>
      <c r="F23" s="24"/>
      <c r="G23" s="24"/>
      <c r="H23" s="24"/>
      <c r="I23" s="24"/>
    </row>
    <row r="24" spans="2:11" ht="17.25" x14ac:dyDescent="0.25">
      <c r="B24" s="21" t="s">
        <v>47</v>
      </c>
      <c r="C24" s="20">
        <f>C23^2/4</f>
        <v>6.2500000000000012E-4</v>
      </c>
      <c r="D24" s="24"/>
      <c r="E24" s="20"/>
      <c r="F24" s="24"/>
      <c r="G24" s="24"/>
      <c r="H24" s="24"/>
      <c r="I24" s="24"/>
    </row>
    <row r="25" spans="2:11" ht="17.25" x14ac:dyDescent="0.25">
      <c r="B25" s="22" t="s">
        <v>48</v>
      </c>
      <c r="C25" s="20">
        <f>C22^2*C24</f>
        <v>33856.000000000007</v>
      </c>
      <c r="D25" s="24"/>
      <c r="E25" s="20"/>
      <c r="F25" s="24"/>
      <c r="G25" s="24"/>
      <c r="H25" s="24"/>
      <c r="I25" s="24"/>
    </row>
    <row r="26" spans="2:11" x14ac:dyDescent="0.25">
      <c r="B26" s="22"/>
      <c r="C26" s="24"/>
      <c r="D26" s="24"/>
      <c r="E26" s="20"/>
      <c r="F26" s="24"/>
      <c r="G26" s="24"/>
      <c r="H26" s="24"/>
      <c r="I26" s="24"/>
    </row>
    <row r="27" spans="2:11" x14ac:dyDescent="0.25">
      <c r="B27" s="22" t="s">
        <v>4</v>
      </c>
      <c r="C27" s="23">
        <f>F20/(C25+G20)</f>
        <v>626.46452471756243</v>
      </c>
      <c r="D27" s="24">
        <f>ROUNDUP(C27,0)</f>
        <v>627</v>
      </c>
      <c r="E27" s="20"/>
      <c r="F27" s="24"/>
      <c r="G27" s="24"/>
      <c r="H27" s="24"/>
      <c r="I27" s="24"/>
    </row>
    <row r="28" spans="2:11" x14ac:dyDescent="0.25">
      <c r="B28" s="20"/>
      <c r="C28" s="20"/>
      <c r="D28" s="20"/>
      <c r="E28" s="20"/>
    </row>
    <row r="29" spans="2:11" x14ac:dyDescent="0.25">
      <c r="B29" s="20"/>
      <c r="C29" s="20"/>
      <c r="D29" s="20"/>
      <c r="E29" s="20"/>
    </row>
    <row r="30" spans="2:11" x14ac:dyDescent="0.25">
      <c r="B30" s="20"/>
      <c r="C30" s="20"/>
      <c r="D30" s="20"/>
      <c r="E30" s="20"/>
    </row>
    <row r="31" spans="2:11" x14ac:dyDescent="0.25">
      <c r="B31" s="20"/>
      <c r="C31" s="20"/>
      <c r="D31" s="20"/>
      <c r="E31" s="20"/>
    </row>
    <row r="32" spans="2:11" x14ac:dyDescent="0.25">
      <c r="B32" s="20"/>
      <c r="C32" s="20"/>
      <c r="D32" s="20"/>
      <c r="E32" s="20"/>
    </row>
    <row r="33" spans="2:5" x14ac:dyDescent="0.25">
      <c r="B33" s="20"/>
      <c r="C33" s="20"/>
      <c r="D33" s="20"/>
      <c r="E33" s="20"/>
    </row>
    <row r="34" spans="2:5" x14ac:dyDescent="0.25">
      <c r="B34" s="20"/>
      <c r="C34" s="20"/>
      <c r="D34" s="20"/>
      <c r="E34" s="20"/>
    </row>
  </sheetData>
  <mergeCells count="1">
    <mergeCell ref="B2:I5"/>
  </mergeCells>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7"/>
  <sheetViews>
    <sheetView tabSelected="1" topLeftCell="A18" zoomScale="175" zoomScaleNormal="175" workbookViewId="0">
      <selection activeCell="I25" sqref="I25"/>
    </sheetView>
  </sheetViews>
  <sheetFormatPr baseColWidth="10" defaultRowHeight="15" x14ac:dyDescent="0.25"/>
  <cols>
    <col min="1" max="1" width="4.28515625" style="1" customWidth="1"/>
    <col min="2" max="2" width="17" style="1" customWidth="1"/>
    <col min="3" max="3" width="24" style="1" customWidth="1"/>
    <col min="4" max="4" width="13.42578125" style="1" customWidth="1"/>
    <col min="5" max="5" width="14.5703125" style="1" customWidth="1"/>
    <col min="6" max="6" width="11.42578125" style="1"/>
    <col min="7" max="7" width="17.7109375" style="1" customWidth="1"/>
    <col min="8" max="8" width="14.5703125" style="1" customWidth="1"/>
    <col min="9" max="9" width="13.7109375" style="1" customWidth="1"/>
    <col min="10" max="10" width="16.7109375" style="1" customWidth="1"/>
    <col min="11" max="256" width="11.42578125" style="1"/>
    <col min="257" max="257" width="4.28515625" style="1" customWidth="1"/>
    <col min="258" max="258" width="23" style="1" customWidth="1"/>
    <col min="259" max="259" width="15.85546875" style="1" customWidth="1"/>
    <col min="260" max="262" width="11.42578125" style="1"/>
    <col min="263" max="263" width="19.85546875" style="1" customWidth="1"/>
    <col min="264" max="264" width="14.5703125" style="1" customWidth="1"/>
    <col min="265" max="512" width="11.42578125" style="1"/>
    <col min="513" max="513" width="4.28515625" style="1" customWidth="1"/>
    <col min="514" max="514" width="23" style="1" customWidth="1"/>
    <col min="515" max="515" width="15.85546875" style="1" customWidth="1"/>
    <col min="516" max="518" width="11.42578125" style="1"/>
    <col min="519" max="519" width="19.85546875" style="1" customWidth="1"/>
    <col min="520" max="520" width="14.5703125" style="1" customWidth="1"/>
    <col min="521" max="768" width="11.42578125" style="1"/>
    <col min="769" max="769" width="4.28515625" style="1" customWidth="1"/>
    <col min="770" max="770" width="23" style="1" customWidth="1"/>
    <col min="771" max="771" width="15.85546875" style="1" customWidth="1"/>
    <col min="772" max="774" width="11.42578125" style="1"/>
    <col min="775" max="775" width="19.85546875" style="1" customWidth="1"/>
    <col min="776" max="776" width="14.5703125" style="1" customWidth="1"/>
    <col min="777" max="1024" width="11.42578125" style="1"/>
    <col min="1025" max="1025" width="4.28515625" style="1" customWidth="1"/>
    <col min="1026" max="1026" width="23" style="1" customWidth="1"/>
    <col min="1027" max="1027" width="15.85546875" style="1" customWidth="1"/>
    <col min="1028" max="1030" width="11.42578125" style="1"/>
    <col min="1031" max="1031" width="19.85546875" style="1" customWidth="1"/>
    <col min="1032" max="1032" width="14.5703125" style="1" customWidth="1"/>
    <col min="1033" max="1280" width="11.42578125" style="1"/>
    <col min="1281" max="1281" width="4.28515625" style="1" customWidth="1"/>
    <col min="1282" max="1282" width="23" style="1" customWidth="1"/>
    <col min="1283" max="1283" width="15.85546875" style="1" customWidth="1"/>
    <col min="1284" max="1286" width="11.42578125" style="1"/>
    <col min="1287" max="1287" width="19.85546875" style="1" customWidth="1"/>
    <col min="1288" max="1288" width="14.5703125" style="1" customWidth="1"/>
    <col min="1289" max="1536" width="11.42578125" style="1"/>
    <col min="1537" max="1537" width="4.28515625" style="1" customWidth="1"/>
    <col min="1538" max="1538" width="23" style="1" customWidth="1"/>
    <col min="1539" max="1539" width="15.85546875" style="1" customWidth="1"/>
    <col min="1540" max="1542" width="11.42578125" style="1"/>
    <col min="1543" max="1543" width="19.85546875" style="1" customWidth="1"/>
    <col min="1544" max="1544" width="14.5703125" style="1" customWidth="1"/>
    <col min="1545" max="1792" width="11.42578125" style="1"/>
    <col min="1793" max="1793" width="4.28515625" style="1" customWidth="1"/>
    <col min="1794" max="1794" width="23" style="1" customWidth="1"/>
    <col min="1795" max="1795" width="15.85546875" style="1" customWidth="1"/>
    <col min="1796" max="1798" width="11.42578125" style="1"/>
    <col min="1799" max="1799" width="19.85546875" style="1" customWidth="1"/>
    <col min="1800" max="1800" width="14.5703125" style="1" customWidth="1"/>
    <col min="1801" max="2048" width="11.42578125" style="1"/>
    <col min="2049" max="2049" width="4.28515625" style="1" customWidth="1"/>
    <col min="2050" max="2050" width="23" style="1" customWidth="1"/>
    <col min="2051" max="2051" width="15.85546875" style="1" customWidth="1"/>
    <col min="2052" max="2054" width="11.42578125" style="1"/>
    <col min="2055" max="2055" width="19.85546875" style="1" customWidth="1"/>
    <col min="2056" max="2056" width="14.5703125" style="1" customWidth="1"/>
    <col min="2057" max="2304" width="11.42578125" style="1"/>
    <col min="2305" max="2305" width="4.28515625" style="1" customWidth="1"/>
    <col min="2306" max="2306" width="23" style="1" customWidth="1"/>
    <col min="2307" max="2307" width="15.85546875" style="1" customWidth="1"/>
    <col min="2308" max="2310" width="11.42578125" style="1"/>
    <col min="2311" max="2311" width="19.85546875" style="1" customWidth="1"/>
    <col min="2312" max="2312" width="14.5703125" style="1" customWidth="1"/>
    <col min="2313" max="2560" width="11.42578125" style="1"/>
    <col min="2561" max="2561" width="4.28515625" style="1" customWidth="1"/>
    <col min="2562" max="2562" width="23" style="1" customWidth="1"/>
    <col min="2563" max="2563" width="15.85546875" style="1" customWidth="1"/>
    <col min="2564" max="2566" width="11.42578125" style="1"/>
    <col min="2567" max="2567" width="19.85546875" style="1" customWidth="1"/>
    <col min="2568" max="2568" width="14.5703125" style="1" customWidth="1"/>
    <col min="2569" max="2816" width="11.42578125" style="1"/>
    <col min="2817" max="2817" width="4.28515625" style="1" customWidth="1"/>
    <col min="2818" max="2818" width="23" style="1" customWidth="1"/>
    <col min="2819" max="2819" width="15.85546875" style="1" customWidth="1"/>
    <col min="2820" max="2822" width="11.42578125" style="1"/>
    <col min="2823" max="2823" width="19.85546875" style="1" customWidth="1"/>
    <col min="2824" max="2824" width="14.5703125" style="1" customWidth="1"/>
    <col min="2825" max="3072" width="11.42578125" style="1"/>
    <col min="3073" max="3073" width="4.28515625" style="1" customWidth="1"/>
    <col min="3074" max="3074" width="23" style="1" customWidth="1"/>
    <col min="3075" max="3075" width="15.85546875" style="1" customWidth="1"/>
    <col min="3076" max="3078" width="11.42578125" style="1"/>
    <col min="3079" max="3079" width="19.85546875" style="1" customWidth="1"/>
    <col min="3080" max="3080" width="14.5703125" style="1" customWidth="1"/>
    <col min="3081" max="3328" width="11.42578125" style="1"/>
    <col min="3329" max="3329" width="4.28515625" style="1" customWidth="1"/>
    <col min="3330" max="3330" width="23" style="1" customWidth="1"/>
    <col min="3331" max="3331" width="15.85546875" style="1" customWidth="1"/>
    <col min="3332" max="3334" width="11.42578125" style="1"/>
    <col min="3335" max="3335" width="19.85546875" style="1" customWidth="1"/>
    <col min="3336" max="3336" width="14.5703125" style="1" customWidth="1"/>
    <col min="3337" max="3584" width="11.42578125" style="1"/>
    <col min="3585" max="3585" width="4.28515625" style="1" customWidth="1"/>
    <col min="3586" max="3586" width="23" style="1" customWidth="1"/>
    <col min="3587" max="3587" width="15.85546875" style="1" customWidth="1"/>
    <col min="3588" max="3590" width="11.42578125" style="1"/>
    <col min="3591" max="3591" width="19.85546875" style="1" customWidth="1"/>
    <col min="3592" max="3592" width="14.5703125" style="1" customWidth="1"/>
    <col min="3593" max="3840" width="11.42578125" style="1"/>
    <col min="3841" max="3841" width="4.28515625" style="1" customWidth="1"/>
    <col min="3842" max="3842" width="23" style="1" customWidth="1"/>
    <col min="3843" max="3843" width="15.85546875" style="1" customWidth="1"/>
    <col min="3844" max="3846" width="11.42578125" style="1"/>
    <col min="3847" max="3847" width="19.85546875" style="1" customWidth="1"/>
    <col min="3848" max="3848" width="14.5703125" style="1" customWidth="1"/>
    <col min="3849" max="4096" width="11.42578125" style="1"/>
    <col min="4097" max="4097" width="4.28515625" style="1" customWidth="1"/>
    <col min="4098" max="4098" width="23" style="1" customWidth="1"/>
    <col min="4099" max="4099" width="15.85546875" style="1" customWidth="1"/>
    <col min="4100" max="4102" width="11.42578125" style="1"/>
    <col min="4103" max="4103" width="19.85546875" style="1" customWidth="1"/>
    <col min="4104" max="4104" width="14.5703125" style="1" customWidth="1"/>
    <col min="4105" max="4352" width="11.42578125" style="1"/>
    <col min="4353" max="4353" width="4.28515625" style="1" customWidth="1"/>
    <col min="4354" max="4354" width="23" style="1" customWidth="1"/>
    <col min="4355" max="4355" width="15.85546875" style="1" customWidth="1"/>
    <col min="4356" max="4358" width="11.42578125" style="1"/>
    <col min="4359" max="4359" width="19.85546875" style="1" customWidth="1"/>
    <col min="4360" max="4360" width="14.5703125" style="1" customWidth="1"/>
    <col min="4361" max="4608" width="11.42578125" style="1"/>
    <col min="4609" max="4609" width="4.28515625" style="1" customWidth="1"/>
    <col min="4610" max="4610" width="23" style="1" customWidth="1"/>
    <col min="4611" max="4611" width="15.85546875" style="1" customWidth="1"/>
    <col min="4612" max="4614" width="11.42578125" style="1"/>
    <col min="4615" max="4615" width="19.85546875" style="1" customWidth="1"/>
    <col min="4616" max="4616" width="14.5703125" style="1" customWidth="1"/>
    <col min="4617" max="4864" width="11.42578125" style="1"/>
    <col min="4865" max="4865" width="4.28515625" style="1" customWidth="1"/>
    <col min="4866" max="4866" width="23" style="1" customWidth="1"/>
    <col min="4867" max="4867" width="15.85546875" style="1" customWidth="1"/>
    <col min="4868" max="4870" width="11.42578125" style="1"/>
    <col min="4871" max="4871" width="19.85546875" style="1" customWidth="1"/>
    <col min="4872" max="4872" width="14.5703125" style="1" customWidth="1"/>
    <col min="4873" max="5120" width="11.42578125" style="1"/>
    <col min="5121" max="5121" width="4.28515625" style="1" customWidth="1"/>
    <col min="5122" max="5122" width="23" style="1" customWidth="1"/>
    <col min="5123" max="5123" width="15.85546875" style="1" customWidth="1"/>
    <col min="5124" max="5126" width="11.42578125" style="1"/>
    <col min="5127" max="5127" width="19.85546875" style="1" customWidth="1"/>
    <col min="5128" max="5128" width="14.5703125" style="1" customWidth="1"/>
    <col min="5129" max="5376" width="11.42578125" style="1"/>
    <col min="5377" max="5377" width="4.28515625" style="1" customWidth="1"/>
    <col min="5378" max="5378" width="23" style="1" customWidth="1"/>
    <col min="5379" max="5379" width="15.85546875" style="1" customWidth="1"/>
    <col min="5380" max="5382" width="11.42578125" style="1"/>
    <col min="5383" max="5383" width="19.85546875" style="1" customWidth="1"/>
    <col min="5384" max="5384" width="14.5703125" style="1" customWidth="1"/>
    <col min="5385" max="5632" width="11.42578125" style="1"/>
    <col min="5633" max="5633" width="4.28515625" style="1" customWidth="1"/>
    <col min="5634" max="5634" width="23" style="1" customWidth="1"/>
    <col min="5635" max="5635" width="15.85546875" style="1" customWidth="1"/>
    <col min="5636" max="5638" width="11.42578125" style="1"/>
    <col min="5639" max="5639" width="19.85546875" style="1" customWidth="1"/>
    <col min="5640" max="5640" width="14.5703125" style="1" customWidth="1"/>
    <col min="5641" max="5888" width="11.42578125" style="1"/>
    <col min="5889" max="5889" width="4.28515625" style="1" customWidth="1"/>
    <col min="5890" max="5890" width="23" style="1" customWidth="1"/>
    <col min="5891" max="5891" width="15.85546875" style="1" customWidth="1"/>
    <col min="5892" max="5894" width="11.42578125" style="1"/>
    <col min="5895" max="5895" width="19.85546875" style="1" customWidth="1"/>
    <col min="5896" max="5896" width="14.5703125" style="1" customWidth="1"/>
    <col min="5897" max="6144" width="11.42578125" style="1"/>
    <col min="6145" max="6145" width="4.28515625" style="1" customWidth="1"/>
    <col min="6146" max="6146" width="23" style="1" customWidth="1"/>
    <col min="6147" max="6147" width="15.85546875" style="1" customWidth="1"/>
    <col min="6148" max="6150" width="11.42578125" style="1"/>
    <col min="6151" max="6151" width="19.85546875" style="1" customWidth="1"/>
    <col min="6152" max="6152" width="14.5703125" style="1" customWidth="1"/>
    <col min="6153" max="6400" width="11.42578125" style="1"/>
    <col min="6401" max="6401" width="4.28515625" style="1" customWidth="1"/>
    <col min="6402" max="6402" width="23" style="1" customWidth="1"/>
    <col min="6403" max="6403" width="15.85546875" style="1" customWidth="1"/>
    <col min="6404" max="6406" width="11.42578125" style="1"/>
    <col min="6407" max="6407" width="19.85546875" style="1" customWidth="1"/>
    <col min="6408" max="6408" width="14.5703125" style="1" customWidth="1"/>
    <col min="6409" max="6656" width="11.42578125" style="1"/>
    <col min="6657" max="6657" width="4.28515625" style="1" customWidth="1"/>
    <col min="6658" max="6658" width="23" style="1" customWidth="1"/>
    <col min="6659" max="6659" width="15.85546875" style="1" customWidth="1"/>
    <col min="6660" max="6662" width="11.42578125" style="1"/>
    <col min="6663" max="6663" width="19.85546875" style="1" customWidth="1"/>
    <col min="6664" max="6664" width="14.5703125" style="1" customWidth="1"/>
    <col min="6665" max="6912" width="11.42578125" style="1"/>
    <col min="6913" max="6913" width="4.28515625" style="1" customWidth="1"/>
    <col min="6914" max="6914" width="23" style="1" customWidth="1"/>
    <col min="6915" max="6915" width="15.85546875" style="1" customWidth="1"/>
    <col min="6916" max="6918" width="11.42578125" style="1"/>
    <col min="6919" max="6919" width="19.85546875" style="1" customWidth="1"/>
    <col min="6920" max="6920" width="14.5703125" style="1" customWidth="1"/>
    <col min="6921" max="7168" width="11.42578125" style="1"/>
    <col min="7169" max="7169" width="4.28515625" style="1" customWidth="1"/>
    <col min="7170" max="7170" width="23" style="1" customWidth="1"/>
    <col min="7171" max="7171" width="15.85546875" style="1" customWidth="1"/>
    <col min="7172" max="7174" width="11.42578125" style="1"/>
    <col min="7175" max="7175" width="19.85546875" style="1" customWidth="1"/>
    <col min="7176" max="7176" width="14.5703125" style="1" customWidth="1"/>
    <col min="7177" max="7424" width="11.42578125" style="1"/>
    <col min="7425" max="7425" width="4.28515625" style="1" customWidth="1"/>
    <col min="7426" max="7426" width="23" style="1" customWidth="1"/>
    <col min="7427" max="7427" width="15.85546875" style="1" customWidth="1"/>
    <col min="7428" max="7430" width="11.42578125" style="1"/>
    <col min="7431" max="7431" width="19.85546875" style="1" customWidth="1"/>
    <col min="7432" max="7432" width="14.5703125" style="1" customWidth="1"/>
    <col min="7433" max="7680" width="11.42578125" style="1"/>
    <col min="7681" max="7681" width="4.28515625" style="1" customWidth="1"/>
    <col min="7682" max="7682" width="23" style="1" customWidth="1"/>
    <col min="7683" max="7683" width="15.85546875" style="1" customWidth="1"/>
    <col min="7684" max="7686" width="11.42578125" style="1"/>
    <col min="7687" max="7687" width="19.85546875" style="1" customWidth="1"/>
    <col min="7688" max="7688" width="14.5703125" style="1" customWidth="1"/>
    <col min="7689" max="7936" width="11.42578125" style="1"/>
    <col min="7937" max="7937" width="4.28515625" style="1" customWidth="1"/>
    <col min="7938" max="7938" width="23" style="1" customWidth="1"/>
    <col min="7939" max="7939" width="15.85546875" style="1" customWidth="1"/>
    <col min="7940" max="7942" width="11.42578125" style="1"/>
    <col min="7943" max="7943" width="19.85546875" style="1" customWidth="1"/>
    <col min="7944" max="7944" width="14.5703125" style="1" customWidth="1"/>
    <col min="7945" max="8192" width="11.42578125" style="1"/>
    <col min="8193" max="8193" width="4.28515625" style="1" customWidth="1"/>
    <col min="8194" max="8194" width="23" style="1" customWidth="1"/>
    <col min="8195" max="8195" width="15.85546875" style="1" customWidth="1"/>
    <col min="8196" max="8198" width="11.42578125" style="1"/>
    <col min="8199" max="8199" width="19.85546875" style="1" customWidth="1"/>
    <col min="8200" max="8200" width="14.5703125" style="1" customWidth="1"/>
    <col min="8201" max="8448" width="11.42578125" style="1"/>
    <col min="8449" max="8449" width="4.28515625" style="1" customWidth="1"/>
    <col min="8450" max="8450" width="23" style="1" customWidth="1"/>
    <col min="8451" max="8451" width="15.85546875" style="1" customWidth="1"/>
    <col min="8452" max="8454" width="11.42578125" style="1"/>
    <col min="8455" max="8455" width="19.85546875" style="1" customWidth="1"/>
    <col min="8456" max="8456" width="14.5703125" style="1" customWidth="1"/>
    <col min="8457" max="8704" width="11.42578125" style="1"/>
    <col min="8705" max="8705" width="4.28515625" style="1" customWidth="1"/>
    <col min="8706" max="8706" width="23" style="1" customWidth="1"/>
    <col min="8707" max="8707" width="15.85546875" style="1" customWidth="1"/>
    <col min="8708" max="8710" width="11.42578125" style="1"/>
    <col min="8711" max="8711" width="19.85546875" style="1" customWidth="1"/>
    <col min="8712" max="8712" width="14.5703125" style="1" customWidth="1"/>
    <col min="8713" max="8960" width="11.42578125" style="1"/>
    <col min="8961" max="8961" width="4.28515625" style="1" customWidth="1"/>
    <col min="8962" max="8962" width="23" style="1" customWidth="1"/>
    <col min="8963" max="8963" width="15.85546875" style="1" customWidth="1"/>
    <col min="8964" max="8966" width="11.42578125" style="1"/>
    <col min="8967" max="8967" width="19.85546875" style="1" customWidth="1"/>
    <col min="8968" max="8968" width="14.5703125" style="1" customWidth="1"/>
    <col min="8969" max="9216" width="11.42578125" style="1"/>
    <col min="9217" max="9217" width="4.28515625" style="1" customWidth="1"/>
    <col min="9218" max="9218" width="23" style="1" customWidth="1"/>
    <col min="9219" max="9219" width="15.85546875" style="1" customWidth="1"/>
    <col min="9220" max="9222" width="11.42578125" style="1"/>
    <col min="9223" max="9223" width="19.85546875" style="1" customWidth="1"/>
    <col min="9224" max="9224" width="14.5703125" style="1" customWidth="1"/>
    <col min="9225" max="9472" width="11.42578125" style="1"/>
    <col min="9473" max="9473" width="4.28515625" style="1" customWidth="1"/>
    <col min="9474" max="9474" width="23" style="1" customWidth="1"/>
    <col min="9475" max="9475" width="15.85546875" style="1" customWidth="1"/>
    <col min="9476" max="9478" width="11.42578125" style="1"/>
    <col min="9479" max="9479" width="19.85546875" style="1" customWidth="1"/>
    <col min="9480" max="9480" width="14.5703125" style="1" customWidth="1"/>
    <col min="9481" max="9728" width="11.42578125" style="1"/>
    <col min="9729" max="9729" width="4.28515625" style="1" customWidth="1"/>
    <col min="9730" max="9730" width="23" style="1" customWidth="1"/>
    <col min="9731" max="9731" width="15.85546875" style="1" customWidth="1"/>
    <col min="9732" max="9734" width="11.42578125" style="1"/>
    <col min="9735" max="9735" width="19.85546875" style="1" customWidth="1"/>
    <col min="9736" max="9736" width="14.5703125" style="1" customWidth="1"/>
    <col min="9737" max="9984" width="11.42578125" style="1"/>
    <col min="9985" max="9985" width="4.28515625" style="1" customWidth="1"/>
    <col min="9986" max="9986" width="23" style="1" customWidth="1"/>
    <col min="9987" max="9987" width="15.85546875" style="1" customWidth="1"/>
    <col min="9988" max="9990" width="11.42578125" style="1"/>
    <col min="9991" max="9991" width="19.85546875" style="1" customWidth="1"/>
    <col min="9992" max="9992" width="14.5703125" style="1" customWidth="1"/>
    <col min="9993" max="10240" width="11.42578125" style="1"/>
    <col min="10241" max="10241" width="4.28515625" style="1" customWidth="1"/>
    <col min="10242" max="10242" width="23" style="1" customWidth="1"/>
    <col min="10243" max="10243" width="15.85546875" style="1" customWidth="1"/>
    <col min="10244" max="10246" width="11.42578125" style="1"/>
    <col min="10247" max="10247" width="19.85546875" style="1" customWidth="1"/>
    <col min="10248" max="10248" width="14.5703125" style="1" customWidth="1"/>
    <col min="10249" max="10496" width="11.42578125" style="1"/>
    <col min="10497" max="10497" width="4.28515625" style="1" customWidth="1"/>
    <col min="10498" max="10498" width="23" style="1" customWidth="1"/>
    <col min="10499" max="10499" width="15.85546875" style="1" customWidth="1"/>
    <col min="10500" max="10502" width="11.42578125" style="1"/>
    <col min="10503" max="10503" width="19.85546875" style="1" customWidth="1"/>
    <col min="10504" max="10504" width="14.5703125" style="1" customWidth="1"/>
    <col min="10505" max="10752" width="11.42578125" style="1"/>
    <col min="10753" max="10753" width="4.28515625" style="1" customWidth="1"/>
    <col min="10754" max="10754" width="23" style="1" customWidth="1"/>
    <col min="10755" max="10755" width="15.85546875" style="1" customWidth="1"/>
    <col min="10756" max="10758" width="11.42578125" style="1"/>
    <col min="10759" max="10759" width="19.85546875" style="1" customWidth="1"/>
    <col min="10760" max="10760" width="14.5703125" style="1" customWidth="1"/>
    <col min="10761" max="11008" width="11.42578125" style="1"/>
    <col min="11009" max="11009" width="4.28515625" style="1" customWidth="1"/>
    <col min="11010" max="11010" width="23" style="1" customWidth="1"/>
    <col min="11011" max="11011" width="15.85546875" style="1" customWidth="1"/>
    <col min="11012" max="11014" width="11.42578125" style="1"/>
    <col min="11015" max="11015" width="19.85546875" style="1" customWidth="1"/>
    <col min="11016" max="11016" width="14.5703125" style="1" customWidth="1"/>
    <col min="11017" max="11264" width="11.42578125" style="1"/>
    <col min="11265" max="11265" width="4.28515625" style="1" customWidth="1"/>
    <col min="11266" max="11266" width="23" style="1" customWidth="1"/>
    <col min="11267" max="11267" width="15.85546875" style="1" customWidth="1"/>
    <col min="11268" max="11270" width="11.42578125" style="1"/>
    <col min="11271" max="11271" width="19.85546875" style="1" customWidth="1"/>
    <col min="11272" max="11272" width="14.5703125" style="1" customWidth="1"/>
    <col min="11273" max="11520" width="11.42578125" style="1"/>
    <col min="11521" max="11521" width="4.28515625" style="1" customWidth="1"/>
    <col min="11522" max="11522" width="23" style="1" customWidth="1"/>
    <col min="11523" max="11523" width="15.85546875" style="1" customWidth="1"/>
    <col min="11524" max="11526" width="11.42578125" style="1"/>
    <col min="11527" max="11527" width="19.85546875" style="1" customWidth="1"/>
    <col min="11528" max="11528" width="14.5703125" style="1" customWidth="1"/>
    <col min="11529" max="11776" width="11.42578125" style="1"/>
    <col min="11777" max="11777" width="4.28515625" style="1" customWidth="1"/>
    <col min="11778" max="11778" width="23" style="1" customWidth="1"/>
    <col min="11779" max="11779" width="15.85546875" style="1" customWidth="1"/>
    <col min="11780" max="11782" width="11.42578125" style="1"/>
    <col min="11783" max="11783" width="19.85546875" style="1" customWidth="1"/>
    <col min="11784" max="11784" width="14.5703125" style="1" customWidth="1"/>
    <col min="11785" max="12032" width="11.42578125" style="1"/>
    <col min="12033" max="12033" width="4.28515625" style="1" customWidth="1"/>
    <col min="12034" max="12034" width="23" style="1" customWidth="1"/>
    <col min="12035" max="12035" width="15.85546875" style="1" customWidth="1"/>
    <col min="12036" max="12038" width="11.42578125" style="1"/>
    <col min="12039" max="12039" width="19.85546875" style="1" customWidth="1"/>
    <col min="12040" max="12040" width="14.5703125" style="1" customWidth="1"/>
    <col min="12041" max="12288" width="11.42578125" style="1"/>
    <col min="12289" max="12289" width="4.28515625" style="1" customWidth="1"/>
    <col min="12290" max="12290" width="23" style="1" customWidth="1"/>
    <col min="12291" max="12291" width="15.85546875" style="1" customWidth="1"/>
    <col min="12292" max="12294" width="11.42578125" style="1"/>
    <col min="12295" max="12295" width="19.85546875" style="1" customWidth="1"/>
    <col min="12296" max="12296" width="14.5703125" style="1" customWidth="1"/>
    <col min="12297" max="12544" width="11.42578125" style="1"/>
    <col min="12545" max="12545" width="4.28515625" style="1" customWidth="1"/>
    <col min="12546" max="12546" width="23" style="1" customWidth="1"/>
    <col min="12547" max="12547" width="15.85546875" style="1" customWidth="1"/>
    <col min="12548" max="12550" width="11.42578125" style="1"/>
    <col min="12551" max="12551" width="19.85546875" style="1" customWidth="1"/>
    <col min="12552" max="12552" width="14.5703125" style="1" customWidth="1"/>
    <col min="12553" max="12800" width="11.42578125" style="1"/>
    <col min="12801" max="12801" width="4.28515625" style="1" customWidth="1"/>
    <col min="12802" max="12802" width="23" style="1" customWidth="1"/>
    <col min="12803" max="12803" width="15.85546875" style="1" customWidth="1"/>
    <col min="12804" max="12806" width="11.42578125" style="1"/>
    <col min="12807" max="12807" width="19.85546875" style="1" customWidth="1"/>
    <col min="12808" max="12808" width="14.5703125" style="1" customWidth="1"/>
    <col min="12809" max="13056" width="11.42578125" style="1"/>
    <col min="13057" max="13057" width="4.28515625" style="1" customWidth="1"/>
    <col min="13058" max="13058" width="23" style="1" customWidth="1"/>
    <col min="13059" max="13059" width="15.85546875" style="1" customWidth="1"/>
    <col min="13060" max="13062" width="11.42578125" style="1"/>
    <col min="13063" max="13063" width="19.85546875" style="1" customWidth="1"/>
    <col min="13064" max="13064" width="14.5703125" style="1" customWidth="1"/>
    <col min="13065" max="13312" width="11.42578125" style="1"/>
    <col min="13313" max="13313" width="4.28515625" style="1" customWidth="1"/>
    <col min="13314" max="13314" width="23" style="1" customWidth="1"/>
    <col min="13315" max="13315" width="15.85546875" style="1" customWidth="1"/>
    <col min="13316" max="13318" width="11.42578125" style="1"/>
    <col min="13319" max="13319" width="19.85546875" style="1" customWidth="1"/>
    <col min="13320" max="13320" width="14.5703125" style="1" customWidth="1"/>
    <col min="13321" max="13568" width="11.42578125" style="1"/>
    <col min="13569" max="13569" width="4.28515625" style="1" customWidth="1"/>
    <col min="13570" max="13570" width="23" style="1" customWidth="1"/>
    <col min="13571" max="13571" width="15.85546875" style="1" customWidth="1"/>
    <col min="13572" max="13574" width="11.42578125" style="1"/>
    <col min="13575" max="13575" width="19.85546875" style="1" customWidth="1"/>
    <col min="13576" max="13576" width="14.5703125" style="1" customWidth="1"/>
    <col min="13577" max="13824" width="11.42578125" style="1"/>
    <col min="13825" max="13825" width="4.28515625" style="1" customWidth="1"/>
    <col min="13826" max="13826" width="23" style="1" customWidth="1"/>
    <col min="13827" max="13827" width="15.85546875" style="1" customWidth="1"/>
    <col min="13828" max="13830" width="11.42578125" style="1"/>
    <col min="13831" max="13831" width="19.85546875" style="1" customWidth="1"/>
    <col min="13832" max="13832" width="14.5703125" style="1" customWidth="1"/>
    <col min="13833" max="14080" width="11.42578125" style="1"/>
    <col min="14081" max="14081" width="4.28515625" style="1" customWidth="1"/>
    <col min="14082" max="14082" width="23" style="1" customWidth="1"/>
    <col min="14083" max="14083" width="15.85546875" style="1" customWidth="1"/>
    <col min="14084" max="14086" width="11.42578125" style="1"/>
    <col min="14087" max="14087" width="19.85546875" style="1" customWidth="1"/>
    <col min="14088" max="14088" width="14.5703125" style="1" customWidth="1"/>
    <col min="14089" max="14336" width="11.42578125" style="1"/>
    <col min="14337" max="14337" width="4.28515625" style="1" customWidth="1"/>
    <col min="14338" max="14338" width="23" style="1" customWidth="1"/>
    <col min="14339" max="14339" width="15.85546875" style="1" customWidth="1"/>
    <col min="14340" max="14342" width="11.42578125" style="1"/>
    <col min="14343" max="14343" width="19.85546875" style="1" customWidth="1"/>
    <col min="14344" max="14344" width="14.5703125" style="1" customWidth="1"/>
    <col min="14345" max="14592" width="11.42578125" style="1"/>
    <col min="14593" max="14593" width="4.28515625" style="1" customWidth="1"/>
    <col min="14594" max="14594" width="23" style="1" customWidth="1"/>
    <col min="14595" max="14595" width="15.85546875" style="1" customWidth="1"/>
    <col min="14596" max="14598" width="11.42578125" style="1"/>
    <col min="14599" max="14599" width="19.85546875" style="1" customWidth="1"/>
    <col min="14600" max="14600" width="14.5703125" style="1" customWidth="1"/>
    <col min="14601" max="14848" width="11.42578125" style="1"/>
    <col min="14849" max="14849" width="4.28515625" style="1" customWidth="1"/>
    <col min="14850" max="14850" width="23" style="1" customWidth="1"/>
    <col min="14851" max="14851" width="15.85546875" style="1" customWidth="1"/>
    <col min="14852" max="14854" width="11.42578125" style="1"/>
    <col min="14855" max="14855" width="19.85546875" style="1" customWidth="1"/>
    <col min="14856" max="14856" width="14.5703125" style="1" customWidth="1"/>
    <col min="14857" max="15104" width="11.42578125" style="1"/>
    <col min="15105" max="15105" width="4.28515625" style="1" customWidth="1"/>
    <col min="15106" max="15106" width="23" style="1" customWidth="1"/>
    <col min="15107" max="15107" width="15.85546875" style="1" customWidth="1"/>
    <col min="15108" max="15110" width="11.42578125" style="1"/>
    <col min="15111" max="15111" width="19.85546875" style="1" customWidth="1"/>
    <col min="15112" max="15112" width="14.5703125" style="1" customWidth="1"/>
    <col min="15113" max="15360" width="11.42578125" style="1"/>
    <col min="15361" max="15361" width="4.28515625" style="1" customWidth="1"/>
    <col min="15362" max="15362" width="23" style="1" customWidth="1"/>
    <col min="15363" max="15363" width="15.85546875" style="1" customWidth="1"/>
    <col min="15364" max="15366" width="11.42578125" style="1"/>
    <col min="15367" max="15367" width="19.85546875" style="1" customWidth="1"/>
    <col min="15368" max="15368" width="14.5703125" style="1" customWidth="1"/>
    <col min="15369" max="15616" width="11.42578125" style="1"/>
    <col min="15617" max="15617" width="4.28515625" style="1" customWidth="1"/>
    <col min="15618" max="15618" width="23" style="1" customWidth="1"/>
    <col min="15619" max="15619" width="15.85546875" style="1" customWidth="1"/>
    <col min="15620" max="15622" width="11.42578125" style="1"/>
    <col min="15623" max="15623" width="19.85546875" style="1" customWidth="1"/>
    <col min="15624" max="15624" width="14.5703125" style="1" customWidth="1"/>
    <col min="15625" max="15872" width="11.42578125" style="1"/>
    <col min="15873" max="15873" width="4.28515625" style="1" customWidth="1"/>
    <col min="15874" max="15874" width="23" style="1" customWidth="1"/>
    <col min="15875" max="15875" width="15.85546875" style="1" customWidth="1"/>
    <col min="15876" max="15878" width="11.42578125" style="1"/>
    <col min="15879" max="15879" width="19.85546875" style="1" customWidth="1"/>
    <col min="15880" max="15880" width="14.5703125" style="1" customWidth="1"/>
    <col min="15881" max="16128" width="11.42578125" style="1"/>
    <col min="16129" max="16129" width="4.28515625" style="1" customWidth="1"/>
    <col min="16130" max="16130" width="23" style="1" customWidth="1"/>
    <col min="16131" max="16131" width="15.85546875" style="1" customWidth="1"/>
    <col min="16132" max="16134" width="11.42578125" style="1"/>
    <col min="16135" max="16135" width="19.85546875" style="1" customWidth="1"/>
    <col min="16136" max="16136" width="14.5703125" style="1" customWidth="1"/>
    <col min="16137" max="16384" width="11.42578125" style="1"/>
  </cols>
  <sheetData>
    <row r="1" spans="2:10" x14ac:dyDescent="0.25">
      <c r="B1" s="48" t="s">
        <v>29</v>
      </c>
      <c r="C1" s="48"/>
      <c r="D1" s="48"/>
      <c r="E1" s="48"/>
      <c r="F1" s="48"/>
      <c r="G1" s="48"/>
      <c r="H1" s="48"/>
      <c r="I1" s="48"/>
      <c r="J1" s="48"/>
    </row>
    <row r="2" spans="2:10" x14ac:dyDescent="0.25">
      <c r="B2" s="48"/>
      <c r="C2" s="48"/>
      <c r="D2" s="48"/>
      <c r="E2" s="48"/>
      <c r="F2" s="48"/>
      <c r="G2" s="48"/>
      <c r="H2" s="48"/>
      <c r="I2" s="48"/>
      <c r="J2" s="48"/>
    </row>
    <row r="3" spans="2:10" ht="15" customHeight="1" x14ac:dyDescent="0.25">
      <c r="B3" s="48"/>
      <c r="C3" s="48"/>
      <c r="D3" s="48"/>
      <c r="E3" s="48"/>
      <c r="F3" s="48"/>
      <c r="G3" s="48"/>
      <c r="H3" s="48"/>
      <c r="I3" s="48"/>
      <c r="J3" s="48"/>
    </row>
    <row r="4" spans="2:10" x14ac:dyDescent="0.25">
      <c r="B4" s="48"/>
      <c r="C4" s="48"/>
      <c r="D4" s="48"/>
      <c r="E4" s="48"/>
      <c r="F4" s="48"/>
      <c r="G4" s="48"/>
      <c r="H4" s="48"/>
      <c r="I4" s="48"/>
      <c r="J4" s="48"/>
    </row>
    <row r="5" spans="2:10" ht="15" customHeight="1" x14ac:dyDescent="0.25">
      <c r="B5" s="48"/>
      <c r="C5" s="48"/>
      <c r="D5" s="48"/>
      <c r="E5" s="48"/>
      <c r="F5" s="48"/>
      <c r="G5" s="48"/>
      <c r="H5" s="48"/>
      <c r="I5" s="48"/>
      <c r="J5" s="48"/>
    </row>
    <row r="6" spans="2:10" x14ac:dyDescent="0.25">
      <c r="B6" s="48"/>
      <c r="C6" s="48"/>
      <c r="D6" s="48"/>
      <c r="E6" s="48"/>
      <c r="F6" s="48"/>
      <c r="G6" s="48"/>
      <c r="H6" s="48"/>
      <c r="I6" s="48"/>
      <c r="J6" s="48"/>
    </row>
    <row r="7" spans="2:10" x14ac:dyDescent="0.25">
      <c r="B7" s="48"/>
      <c r="C7" s="48"/>
      <c r="D7" s="48"/>
      <c r="E7" s="48"/>
      <c r="F7" s="48"/>
      <c r="G7" s="48"/>
      <c r="H7" s="48"/>
      <c r="I7" s="48"/>
      <c r="J7" s="48"/>
    </row>
    <row r="9" spans="2:10" ht="26.25" x14ac:dyDescent="0.25">
      <c r="B9" s="45" t="s">
        <v>9</v>
      </c>
      <c r="C9" s="45"/>
      <c r="D9" s="45"/>
      <c r="E9" s="45"/>
      <c r="F9" s="45"/>
      <c r="G9" s="45"/>
      <c r="H9" s="45"/>
    </row>
    <row r="11" spans="2:10" x14ac:dyDescent="0.25">
      <c r="B11" s="2" t="s">
        <v>10</v>
      </c>
    </row>
    <row r="13" spans="2:10" ht="24" x14ac:dyDescent="0.25">
      <c r="B13" s="8" t="s">
        <v>11</v>
      </c>
      <c r="C13" s="8" t="s">
        <v>33</v>
      </c>
      <c r="D13" s="27" t="s">
        <v>32</v>
      </c>
      <c r="E13" s="8" t="s">
        <v>12</v>
      </c>
      <c r="F13" s="27" t="s">
        <v>13</v>
      </c>
      <c r="G13" s="27" t="s">
        <v>50</v>
      </c>
      <c r="H13" s="27" t="s">
        <v>51</v>
      </c>
      <c r="I13" s="27" t="s">
        <v>52</v>
      </c>
      <c r="J13" s="41" t="s">
        <v>14</v>
      </c>
    </row>
    <row r="14" spans="2:10" ht="27.75" customHeight="1" x14ac:dyDescent="0.25">
      <c r="B14" s="9" t="s">
        <v>15</v>
      </c>
      <c r="C14" s="43">
        <v>296645</v>
      </c>
      <c r="D14" s="28">
        <f>C14/$C$17</f>
        <v>0.23531114901043113</v>
      </c>
      <c r="E14" s="29">
        <v>0.13800000000000001</v>
      </c>
      <c r="F14" s="29">
        <f>1-E14</f>
        <v>0.86199999999999999</v>
      </c>
      <c r="G14" s="14">
        <f>D14*SQRT(E14*F14)</f>
        <v>8.1158811882402343E-2</v>
      </c>
      <c r="H14" s="14">
        <f>D14^2*E14*F14</f>
        <v>6.5867527461631707E-3</v>
      </c>
      <c r="I14" s="32">
        <f>G14/$G$17*D$25</f>
        <v>123.74392066250611</v>
      </c>
      <c r="J14" s="14">
        <f>ROUNDUP(I14,0)</f>
        <v>124</v>
      </c>
    </row>
    <row r="15" spans="2:10" ht="27.75" customHeight="1" x14ac:dyDescent="0.25">
      <c r="B15" s="9" t="s">
        <v>16</v>
      </c>
      <c r="C15" s="43">
        <v>857405</v>
      </c>
      <c r="D15" s="28">
        <f>C15/$C$17</f>
        <v>0.68012929837782099</v>
      </c>
      <c r="E15" s="29">
        <v>0.14000000000000001</v>
      </c>
      <c r="F15" s="29">
        <f t="shared" ref="F15:F16" si="0">1-E15</f>
        <v>0.86</v>
      </c>
      <c r="G15" s="14">
        <f t="shared" ref="G15:G16" si="1">D15*SQRT(E15*F15)</f>
        <v>0.23599604625169807</v>
      </c>
      <c r="H15" s="14">
        <f t="shared" ref="H15:H16" si="2">D15^2*E15*F15</f>
        <v>5.5694133846433617E-2</v>
      </c>
      <c r="I15" s="32">
        <f>G15/$G$17*D$25</f>
        <v>359.82631271574036</v>
      </c>
      <c r="J15" s="14">
        <f t="shared" ref="J15:J16" si="3">ROUNDUP(I15,0)</f>
        <v>360</v>
      </c>
    </row>
    <row r="16" spans="2:10" ht="30" customHeight="1" x14ac:dyDescent="0.25">
      <c r="B16" s="9" t="s">
        <v>17</v>
      </c>
      <c r="C16" s="43">
        <v>106600</v>
      </c>
      <c r="D16" s="28">
        <f t="shared" ref="D15:D16" si="4">C16/$C$17</f>
        <v>8.4559552611747912E-2</v>
      </c>
      <c r="E16" s="29">
        <v>0.34300000000000003</v>
      </c>
      <c r="F16" s="29">
        <f t="shared" si="0"/>
        <v>0.65700000000000003</v>
      </c>
      <c r="G16" s="14">
        <f t="shared" si="1"/>
        <v>4.0141391326453411E-2</v>
      </c>
      <c r="H16" s="14">
        <f t="shared" si="2"/>
        <v>1.6113312976234694E-3</v>
      </c>
      <c r="I16" s="14">
        <f t="shared" ref="I16" si="5">G16/$G$17*D$25</f>
        <v>61.204113618379758</v>
      </c>
      <c r="J16" s="14">
        <f t="shared" si="3"/>
        <v>62</v>
      </c>
    </row>
    <row r="17" spans="1:10" ht="20.25" customHeight="1" x14ac:dyDescent="0.25">
      <c r="B17" s="10" t="s">
        <v>34</v>
      </c>
      <c r="C17" s="43">
        <f>SUM(C14:C16)</f>
        <v>1260650</v>
      </c>
      <c r="D17" s="55">
        <f>SUM(D14:D16)</f>
        <v>1</v>
      </c>
      <c r="E17" s="30"/>
      <c r="F17" s="51"/>
      <c r="G17" s="56">
        <f>SUM(G14:G16)</f>
        <v>0.35729624946055377</v>
      </c>
      <c r="H17" s="56">
        <f>SUM(H14:H16)</f>
        <v>6.389221789022026E-2</v>
      </c>
      <c r="I17" s="14">
        <f>SUM(I14:I16)</f>
        <v>544.77434699662626</v>
      </c>
      <c r="J17" s="31">
        <f>SUM(J14:J16)</f>
        <v>546</v>
      </c>
    </row>
    <row r="18" spans="1:10" x14ac:dyDescent="0.25">
      <c r="A18" s="24"/>
      <c r="B18" s="33"/>
      <c r="C18" s="33"/>
      <c r="D18" s="52"/>
      <c r="E18" s="53"/>
      <c r="F18" s="53"/>
      <c r="G18" s="25"/>
      <c r="H18" s="25"/>
      <c r="I18" s="25"/>
      <c r="J18" s="24"/>
    </row>
    <row r="19" spans="1:10" x14ac:dyDescent="0.25">
      <c r="A19" s="24"/>
      <c r="B19" s="33"/>
      <c r="C19" s="46" t="s">
        <v>18</v>
      </c>
      <c r="D19" s="46"/>
      <c r="E19" s="47"/>
      <c r="F19" s="34"/>
      <c r="G19" s="25"/>
      <c r="H19" s="25"/>
      <c r="I19" s="4"/>
    </row>
    <row r="20" spans="1:10" x14ac:dyDescent="0.25">
      <c r="A20" s="24"/>
      <c r="B20" s="20"/>
      <c r="C20" s="20"/>
      <c r="D20" s="20"/>
      <c r="E20" s="20"/>
      <c r="F20" s="20"/>
      <c r="G20" s="24"/>
      <c r="H20" s="24"/>
    </row>
    <row r="21" spans="1:10" x14ac:dyDescent="0.25">
      <c r="A21" s="24"/>
      <c r="B21" s="20"/>
      <c r="C21" s="35" t="s">
        <v>30</v>
      </c>
      <c r="D21" s="42">
        <v>0.03</v>
      </c>
      <c r="E21" s="35"/>
      <c r="F21" s="20"/>
      <c r="G21" s="24"/>
      <c r="H21" s="24"/>
    </row>
    <row r="22" spans="1:10" x14ac:dyDescent="0.25">
      <c r="A22" s="24"/>
      <c r="B22" s="20"/>
      <c r="C22" s="35" t="s">
        <v>53</v>
      </c>
      <c r="D22" s="36" t="s">
        <v>19</v>
      </c>
      <c r="E22" s="35"/>
      <c r="F22" s="37">
        <f>_xlfn.NORM.S.INV(1-0.05/2)</f>
        <v>1.9599639845400536</v>
      </c>
      <c r="G22" s="24"/>
      <c r="H22" s="24"/>
    </row>
    <row r="23" spans="1:10" x14ac:dyDescent="0.25">
      <c r="A23" s="24"/>
      <c r="B23" s="20"/>
      <c r="C23" s="35" t="s">
        <v>20</v>
      </c>
      <c r="D23" s="38" t="s">
        <v>31</v>
      </c>
      <c r="E23" s="54">
        <f>(D21/F22)^2</f>
        <v>2.3428599446430524E-4</v>
      </c>
      <c r="F23" s="20"/>
      <c r="G23" s="24"/>
      <c r="H23" s="24"/>
    </row>
    <row r="24" spans="1:10" x14ac:dyDescent="0.25">
      <c r="A24" s="24"/>
      <c r="B24" s="20"/>
      <c r="C24" s="35" t="s">
        <v>21</v>
      </c>
      <c r="D24" s="57">
        <f>C17</f>
        <v>1260650</v>
      </c>
      <c r="E24" s="39"/>
      <c r="F24" s="20"/>
      <c r="G24" s="24"/>
      <c r="H24" s="24"/>
    </row>
    <row r="25" spans="1:10" x14ac:dyDescent="0.25">
      <c r="A25" s="24"/>
      <c r="B25" s="20"/>
      <c r="C25" s="22" t="s">
        <v>35</v>
      </c>
      <c r="D25" s="20">
        <f>G17^2/(E23+H17/D24)</f>
        <v>544.77434699662615</v>
      </c>
      <c r="E25" s="20"/>
      <c r="F25" s="20"/>
      <c r="G25" s="26"/>
      <c r="H25" s="26"/>
    </row>
    <row r="26" spans="1:10" x14ac:dyDescent="0.25">
      <c r="A26" s="24"/>
      <c r="B26" s="20"/>
      <c r="C26" s="20"/>
      <c r="D26" s="20"/>
      <c r="E26" s="20"/>
      <c r="F26" s="20"/>
      <c r="G26" s="6" t="s">
        <v>22</v>
      </c>
      <c r="H26" s="6"/>
    </row>
    <row r="27" spans="1:10" x14ac:dyDescent="0.25">
      <c r="A27" s="24"/>
      <c r="B27" s="20"/>
      <c r="C27" s="20"/>
      <c r="D27" s="20"/>
      <c r="E27" s="20"/>
      <c r="F27" s="20"/>
      <c r="G27" s="24"/>
      <c r="H27" s="24"/>
    </row>
    <row r="28" spans="1:10" x14ac:dyDescent="0.25">
      <c r="A28" s="24"/>
      <c r="B28" s="40" t="s">
        <v>23</v>
      </c>
      <c r="C28" s="20"/>
      <c r="D28" s="20"/>
      <c r="E28" s="20"/>
      <c r="F28" s="20"/>
      <c r="G28" s="24"/>
      <c r="H28" s="24"/>
    </row>
    <row r="29" spans="1:10" x14ac:dyDescent="0.25">
      <c r="A29" s="24"/>
      <c r="B29" s="20"/>
      <c r="C29" s="20"/>
      <c r="D29" s="20"/>
      <c r="E29" s="20"/>
      <c r="F29" s="20"/>
      <c r="G29" s="24"/>
      <c r="H29" s="24"/>
    </row>
    <row r="30" spans="1:10" x14ac:dyDescent="0.25">
      <c r="B30" s="40" t="s">
        <v>8</v>
      </c>
      <c r="C30" s="35"/>
      <c r="D30" s="35"/>
      <c r="E30" s="20"/>
      <c r="F30" s="20"/>
    </row>
    <row r="31" spans="1:10" x14ac:dyDescent="0.25">
      <c r="B31" s="7" t="s">
        <v>36</v>
      </c>
      <c r="C31" s="5"/>
      <c r="D31" s="5"/>
    </row>
    <row r="32" spans="1:10" x14ac:dyDescent="0.25">
      <c r="B32" s="7" t="s">
        <v>24</v>
      </c>
      <c r="C32" s="5"/>
      <c r="D32" s="5"/>
    </row>
    <row r="33" spans="2:4" ht="18" x14ac:dyDescent="0.25">
      <c r="B33" s="7" t="s">
        <v>25</v>
      </c>
      <c r="C33" s="5"/>
      <c r="D33" s="5"/>
    </row>
    <row r="34" spans="2:4" ht="18" x14ac:dyDescent="0.25">
      <c r="B34" s="7" t="s">
        <v>26</v>
      </c>
      <c r="C34" s="5"/>
      <c r="D34" s="5"/>
    </row>
    <row r="35" spans="2:4" ht="18" x14ac:dyDescent="0.25">
      <c r="B35" s="7" t="s">
        <v>27</v>
      </c>
      <c r="C35" s="5"/>
      <c r="D35" s="5"/>
    </row>
    <row r="36" spans="2:4" x14ac:dyDescent="0.25">
      <c r="B36" s="7" t="s">
        <v>28</v>
      </c>
      <c r="C36" s="5"/>
      <c r="D36" s="5"/>
    </row>
    <row r="37" spans="2:4" x14ac:dyDescent="0.25">
      <c r="B37" s="5"/>
      <c r="C37" s="5"/>
      <c r="D37" s="5"/>
    </row>
  </sheetData>
  <mergeCells count="3">
    <mergeCell ref="B9:H9"/>
    <mergeCell ref="C19:E19"/>
    <mergeCell ref="B1:J7"/>
  </mergeCells>
  <pageMargins left="0.7" right="0.7" top="0.75" bottom="0.75" header="0.3" footer="0.3"/>
  <drawing r:id="rId1"/>
  <legacyDrawing r:id="rId2"/>
  <oleObjects>
    <mc:AlternateContent xmlns:mc="http://schemas.openxmlformats.org/markup-compatibility/2006">
      <mc:Choice Requires="x14">
        <oleObject progId="Equation.3" shapeId="5122" r:id="rId3">
          <objectPr defaultSize="0" autoPict="0" r:id="rId4">
            <anchor moveWithCells="1" sizeWithCells="1">
              <from>
                <xdr:col>5</xdr:col>
                <xdr:colOff>352425</xdr:colOff>
                <xdr:row>25</xdr:row>
                <xdr:rowOff>95250</xdr:rowOff>
              </from>
              <to>
                <xdr:col>7</xdr:col>
                <xdr:colOff>114300</xdr:colOff>
                <xdr:row>30</xdr:row>
                <xdr:rowOff>161925</xdr:rowOff>
              </to>
            </anchor>
          </objectPr>
        </oleObject>
      </mc:Choice>
      <mc:Fallback>
        <oleObject progId="Equation.3" shapeId="5122" r:id="rId3"/>
      </mc:Fallback>
    </mc:AlternateContent>
    <mc:AlternateContent xmlns:mc="http://schemas.openxmlformats.org/markup-compatibility/2006">
      <mc:Choice Requires="x14">
        <oleObject progId="Equation.3" shapeId="5124" r:id="rId5">
          <objectPr defaultSize="0" autoPict="0" r:id="rId6">
            <anchor moveWithCells="1">
              <from>
                <xdr:col>8</xdr:col>
                <xdr:colOff>9525</xdr:colOff>
                <xdr:row>12</xdr:row>
                <xdr:rowOff>28575</xdr:rowOff>
              </from>
              <to>
                <xdr:col>8</xdr:col>
                <xdr:colOff>885825</xdr:colOff>
                <xdr:row>12</xdr:row>
                <xdr:rowOff>295275</xdr:rowOff>
              </to>
            </anchor>
          </objectPr>
        </oleObject>
      </mc:Choice>
      <mc:Fallback>
        <oleObject progId="Equation.3" shapeId="5124" r:id="rId5"/>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Ejemplo.ME - MEDIA</vt:lpstr>
      <vt:lpstr>Ejemplo ME - PROPORCIÓN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Laboratorio cómputo</cp:lastModifiedBy>
  <dcterms:created xsi:type="dcterms:W3CDTF">2021-09-06T04:06:03Z</dcterms:created>
  <dcterms:modified xsi:type="dcterms:W3CDTF">2026-03-31T00:04:15Z</dcterms:modified>
</cp:coreProperties>
</file>