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sarrollo" state="visible" r:id="rId5"/>
  </sheets>
  <calcPr calcId="171027" fullCalcOnLoad="1"/>
</workbook>
</file>

<file path=xl/sharedStrings.xml><?xml version="1.0" encoding="utf-8"?>
<sst xmlns="http://schemas.openxmlformats.org/spreadsheetml/2006/main" count="202" uniqueCount="83">
  <si>
    <t>Cuestionario 1 (Tipo A) - Resumen de respuestas</t>
  </si>
  <si>
    <t>Pregunta</t>
  </si>
  <si>
    <t>Inciso</t>
  </si>
  <si>
    <t>Distribución</t>
  </si>
  <si>
    <t>Probabilidad</t>
  </si>
  <si>
    <t>Porcentaje</t>
  </si>
  <si>
    <t>Observación</t>
  </si>
  <si>
    <t>1</t>
  </si>
  <si>
    <t>a</t>
  </si>
  <si>
    <t>Media muestral</t>
  </si>
  <si>
    <t>Sin corrección finita (n/N = 3%).</t>
  </si>
  <si>
    <t>b</t>
  </si>
  <si>
    <t>Con corrección finita (n/N = 10%).</t>
  </si>
  <si>
    <t>2</t>
  </si>
  <si>
    <t>Intervalo simétrico de ±1 hora.</t>
  </si>
  <si>
    <t>45 minutos = 0.75 horas.</t>
  </si>
  <si>
    <t>3</t>
  </si>
  <si>
    <t>Cola superior.</t>
  </si>
  <si>
    <t>Probabilidad entre dos valores.</t>
  </si>
  <si>
    <t>4</t>
  </si>
  <si>
    <t>Proporción muestral</t>
  </si>
  <si>
    <t>Con corrección finita.</t>
  </si>
  <si>
    <t>Cola superior con corrección finita.</t>
  </si>
  <si>
    <t>5</t>
  </si>
  <si>
    <t>-</t>
  </si>
  <si>
    <t>Aproximación normal de p̂; se deja comparación exacta en el desarrollo.</t>
  </si>
  <si>
    <t>Criterio usado: corrección por población finita cuando n/N &gt; 5%; en la pregunta 5 se usa la aproximación normal de la distribución muestral de la proporción.</t>
  </si>
  <si>
    <t>Evaluación IND 2: Distribución muestral de la media y proporción (Tipo A)</t>
  </si>
  <si>
    <t>Desarrollo en Excel con fórmulas visibles y respuestas finales resaltadas.</t>
  </si>
  <si>
    <t>Resumen rápido</t>
  </si>
  <si>
    <t>Resultado</t>
  </si>
  <si>
    <t>Pregunta 1</t>
  </si>
  <si>
    <t>Pregunta 2</t>
  </si>
  <si>
    <t>Pregunta 3</t>
  </si>
  <si>
    <t>Pregunta 4</t>
  </si>
  <si>
    <t>Pregunta 5</t>
  </si>
  <si>
    <t>Pregunta 1.a</t>
  </si>
  <si>
    <t>Pregunta 1.b</t>
  </si>
  <si>
    <t>Probabilidad de que el precio medio de 30 gasolineras no difiera en más de S/ 0.05 de la media poblacional.</t>
  </si>
  <si>
    <t>Probabilidad de que el precio medio de 100 gasolineras no difiera en más de S/ 0.05 de la media poblacional.</t>
  </si>
  <si>
    <t>Media poblacional</t>
  </si>
  <si>
    <t>Desv. estándar poblacional</t>
  </si>
  <si>
    <t>Población total (N)</t>
  </si>
  <si>
    <t>Tamaño de muestra (n)</t>
  </si>
  <si>
    <t>Máxima diferencia permitida</t>
  </si>
  <si>
    <t>Factor de corrección finita</t>
  </si>
  <si>
    <t>Error estándar de X̄</t>
  </si>
  <si>
    <t>Valor Z</t>
  </si>
  <si>
    <t>Respuesta final</t>
  </si>
  <si>
    <t>No se aplica corrección finita porque n/N = 3%, menor al umbral usual de 5%.</t>
  </si>
  <si>
    <t>Sí se aplica corrección finita porque n/N = 10%, mayor al 5%.</t>
  </si>
  <si>
    <t>Pregunta 2.a</t>
  </si>
  <si>
    <t>Pregunta 2.b</t>
  </si>
  <si>
    <t>Probabilidad de que la media muestral de 60 personas no se aleje más o menos de 1 hora del promedio semanal.</t>
  </si>
  <si>
    <t>Probabilidad de que la media muestral de 60 personas no se aleje más o menos de 45 minutos del promedio semanal.</t>
  </si>
  <si>
    <t>No aplica</t>
  </si>
  <si>
    <t>No se usa corrección finita porque no se proporciona N.</t>
  </si>
  <si>
    <t>45 minutos equivalen a 0.75 horas.</t>
  </si>
  <si>
    <t>Pregunta 3.a</t>
  </si>
  <si>
    <t>Pregunta 3.b</t>
  </si>
  <si>
    <t>Probabilidad de que la media muestral de 50 facturas sea superior a $1300.</t>
  </si>
  <si>
    <t>Probabilidad de que la media muestral de 50 facturas esté entre $1150 y $1200.</t>
  </si>
  <si>
    <t>Límite inferior</t>
  </si>
  <si>
    <t>Límite superior</t>
  </si>
  <si>
    <t>Z inferior</t>
  </si>
  <si>
    <t>Z superior</t>
  </si>
  <si>
    <t>Se calcula una cola superior: P(X̄ &gt; 1300).</t>
  </si>
  <si>
    <t>Se calcula una probabilidad entre dos límites.</t>
  </si>
  <si>
    <t>Pregunta 4.a</t>
  </si>
  <si>
    <t>Pregunta 4.b</t>
  </si>
  <si>
    <t>Probabilidad de que la proporción muestral de 326 personas que usan gafas esté entre 20% y 30%.</t>
  </si>
  <si>
    <t>Probabilidad de que la proporción muestral de 326 personas que usan gafas sea mayor que 23%.</t>
  </si>
  <si>
    <t>Proporción poblacional (p)</t>
  </si>
  <si>
    <t>Complemento (q)</t>
  </si>
  <si>
    <t>Error estándar de p̂</t>
  </si>
  <si>
    <t>Se aplica corrección finita porque n/N = 6.52%, mayor al 5%.</t>
  </si>
  <si>
    <t>Se calcula una cola superior para p̂ &gt; 0.23.</t>
  </si>
  <si>
    <t>Probabilidad de que en una caja de 200 piezas la proporción defectuosa esté entre 5% y 7%, usando la distribución muestral de la proporción.</t>
  </si>
  <si>
    <t>Respuesta principal con aproximación normal de p̂. Como contraste exacto binomial: 0.079632 (7.96%).</t>
  </si>
  <si>
    <t>Notas metodológicas</t>
  </si>
  <si>
    <t>1. Para las preguntas 1.b y 4 se aplicó corrección por población finita porque la fracción muestral supera el 5%.</t>
  </si>
  <si>
    <t>2. Para las preguntas 2 y 3 no se aplica corrección finita porque el tamaño de la población no fue proporcionado.</t>
  </si>
  <si>
    <t>3. En la pregunta 5 se dejó como respuesta principal la aproximación normal porque el tema es distribución muestral de la proporción.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</si>
</sst>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8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color rgb="FF000000"/>
      <sz val="11"/>
      <name val="Calibri"/>
    </font>
    <font>
      <sz val="11"/>
      <name val="Calibri"/>
    </font>
    <font>
      <b/>
      <color rgb="FFC00000"/>
      <sz val="11"/>
      <name val="Calibri"/>
    </font>
    <font>
      <i/>
      <sz val="10"/>
      <name val="Calibri"/>
    </font>
    <font>
      <i/>
      <sz val="11"/>
      <name val="Calibri"/>
    </font>
    <font>
      <b/>
      <color rgb="FF000000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/>
    <xf numFmtId="2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3" customWidth="1"/>
    <col min="2" max="2" width="11" customWidth="1"/>
    <col min="3" max="3" width="35" customWidth="1"/>
    <col min="4" max="4" width="15" customWidth="1"/>
    <col min="5" max="5" width="14" customWidth="1"/>
    <col min="6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4" t="s">
        <v>9</v>
      </c>
      <c r="D4" s="5">
        <v>0.8290963594935552</v>
      </c>
      <c r="E4" s="6">
        <v>0.8290963594935552</v>
      </c>
      <c r="F4" s="4" t="s">
        <v>10</v>
      </c>
    </row>
    <row r="5" spans="1:6" x14ac:dyDescent="0.25">
      <c r="A5" s="3" t="s">
        <v>7</v>
      </c>
      <c r="B5" s="3" t="s">
        <v>11</v>
      </c>
      <c r="C5" s="4" t="s">
        <v>9</v>
      </c>
      <c r="D5" s="5">
        <v>0.9915592203167771</v>
      </c>
      <c r="E5" s="6">
        <v>0.9915592203167771</v>
      </c>
      <c r="F5" s="4" t="s">
        <v>12</v>
      </c>
    </row>
    <row r="6" spans="1:6" x14ac:dyDescent="0.25">
      <c r="A6" s="3" t="s">
        <v>13</v>
      </c>
      <c r="B6" s="3" t="s">
        <v>8</v>
      </c>
      <c r="C6" s="4" t="s">
        <v>9</v>
      </c>
      <c r="D6" s="5">
        <v>0.9471926251053637</v>
      </c>
      <c r="E6" s="6">
        <v>0.9471926251053637</v>
      </c>
      <c r="F6" s="4" t="s">
        <v>14</v>
      </c>
    </row>
    <row r="7" spans="1:6" x14ac:dyDescent="0.25">
      <c r="A7" s="3" t="s">
        <v>13</v>
      </c>
      <c r="B7" s="3" t="s">
        <v>11</v>
      </c>
      <c r="C7" s="4" t="s">
        <v>9</v>
      </c>
      <c r="D7" s="5">
        <v>0.8536008155003336</v>
      </c>
      <c r="E7" s="6">
        <v>0.8536008155003336</v>
      </c>
      <c r="F7" s="4" t="s">
        <v>15</v>
      </c>
    </row>
    <row r="8" spans="1:6" x14ac:dyDescent="0.25">
      <c r="A8" s="3" t="s">
        <v>16</v>
      </c>
      <c r="B8" s="3" t="s">
        <v>8</v>
      </c>
      <c r="C8" s="4" t="s">
        <v>9</v>
      </c>
      <c r="D8" s="5">
        <v>0.005454773094236809</v>
      </c>
      <c r="E8" s="6">
        <v>0.005454773094236809</v>
      </c>
      <c r="F8" s="4" t="s">
        <v>17</v>
      </c>
    </row>
    <row r="9" spans="1:6" x14ac:dyDescent="0.25">
      <c r="A9" s="3" t="s">
        <v>16</v>
      </c>
      <c r="B9" s="3" t="s">
        <v>11</v>
      </c>
      <c r="C9" s="4" t="s">
        <v>9</v>
      </c>
      <c r="D9" s="5">
        <v>0.3438057888239483</v>
      </c>
      <c r="E9" s="6">
        <v>0.3438057888239483</v>
      </c>
      <c r="F9" s="4" t="s">
        <v>18</v>
      </c>
    </row>
    <row r="10" spans="1:6" x14ac:dyDescent="0.25">
      <c r="A10" s="3" t="s">
        <v>19</v>
      </c>
      <c r="B10" s="3" t="s">
        <v>8</v>
      </c>
      <c r="C10" s="4" t="s">
        <v>20</v>
      </c>
      <c r="D10" s="5">
        <v>0.9689267654801226</v>
      </c>
      <c r="E10" s="6">
        <v>0.9689267654801226</v>
      </c>
      <c r="F10" s="4" t="s">
        <v>21</v>
      </c>
    </row>
    <row r="11" spans="1:6" x14ac:dyDescent="0.25">
      <c r="A11" s="3" t="s">
        <v>19</v>
      </c>
      <c r="B11" s="3" t="s">
        <v>11</v>
      </c>
      <c r="C11" s="4" t="s">
        <v>20</v>
      </c>
      <c r="D11" s="5">
        <v>0.8057808650067033</v>
      </c>
      <c r="E11" s="6">
        <v>0.8057808650067033</v>
      </c>
      <c r="F11" s="4" t="s">
        <v>22</v>
      </c>
    </row>
    <row r="12" spans="1:6" x14ac:dyDescent="0.25">
      <c r="A12" s="3" t="s">
        <v>23</v>
      </c>
      <c r="B12" s="3" t="s">
        <v>24</v>
      </c>
      <c r="C12" s="4" t="s">
        <v>20</v>
      </c>
      <c r="D12" s="5">
        <v>0.04819686987304461</v>
      </c>
      <c r="E12" s="6">
        <v>0.04819686987304461</v>
      </c>
      <c r="F12" s="4" t="s">
        <v>25</v>
      </c>
    </row>
    <row r="15" ht="32" customHeight="1" spans="1:6" x14ac:dyDescent="0.25">
      <c r="A15" s="7" t="s">
        <v>26</v>
      </c>
      <c r="B15" s="7"/>
      <c r="C15" s="7"/>
      <c r="D15" s="7"/>
      <c r="E15" s="7"/>
      <c r="F15" s="7"/>
    </row>
  </sheetData>
  <mergeCells count="2">
    <mergeCell ref="A1:F1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9"/>
  <sheetFormatPr defaultRowHeight="15" outlineLevelRow="0" outlineLevelCol="0" x14ac:dyDescent="55"/>
  <cols>
    <col min="1" max="1" width="4" customWidth="1"/>
    <col min="2" max="4" width="15" customWidth="1"/>
    <col min="5" max="5" width="10" customWidth="1"/>
    <col min="6" max="7" width="12" customWidth="1"/>
    <col min="8" max="10" width="15" customWidth="1"/>
    <col min="11" max="11" width="10" customWidth="1"/>
    <col min="12" max="13" width="12" customWidth="1"/>
  </cols>
  <sheetData>
    <row r="2" spans="2:13" x14ac:dyDescent="0.25">
      <c r="B2" s="1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2" customHeight="1" spans="2:13" x14ac:dyDescent="0.25">
      <c r="B3" s="8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3" x14ac:dyDescent="0.25">
      <c r="B5" s="9" t="s">
        <v>29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2:13" x14ac:dyDescent="0.25">
      <c r="B6" s="2" t="s">
        <v>1</v>
      </c>
      <c r="C6" s="2"/>
      <c r="D6" s="2"/>
      <c r="E6" s="2"/>
      <c r="F6" s="2" t="s">
        <v>2</v>
      </c>
      <c r="G6" s="2"/>
      <c r="H6" s="2"/>
      <c r="I6" s="2"/>
      <c r="J6" s="2" t="s">
        <v>30</v>
      </c>
      <c r="K6" s="2"/>
      <c r="L6" s="2"/>
      <c r="M6" s="2"/>
    </row>
    <row r="7" spans="2:13" x14ac:dyDescent="0.25">
      <c r="B7" s="10" t="s">
        <v>31</v>
      </c>
      <c r="C7" s="10"/>
      <c r="D7" s="10"/>
      <c r="E7" s="10"/>
      <c r="F7" s="11" t="s">
        <v>8</v>
      </c>
      <c r="G7" s="11"/>
      <c r="H7" s="11"/>
      <c r="I7" s="11"/>
      <c r="J7" s="6">
        <v>0.8290963594935552</v>
      </c>
      <c r="K7" s="6"/>
      <c r="L7" s="6"/>
      <c r="M7" s="6"/>
    </row>
    <row r="8" spans="2:13" x14ac:dyDescent="0.25">
      <c r="B8" s="10" t="s">
        <v>31</v>
      </c>
      <c r="C8" s="10"/>
      <c r="D8" s="10"/>
      <c r="E8" s="10"/>
      <c r="F8" s="11" t="s">
        <v>11</v>
      </c>
      <c r="G8" s="11"/>
      <c r="H8" s="11"/>
      <c r="I8" s="11"/>
      <c r="J8" s="6">
        <v>0.9915592203167771</v>
      </c>
      <c r="K8" s="6"/>
      <c r="L8" s="6"/>
      <c r="M8" s="6"/>
    </row>
    <row r="9" spans="2:13" x14ac:dyDescent="0.25">
      <c r="B9" s="10" t="s">
        <v>32</v>
      </c>
      <c r="C9" s="10"/>
      <c r="D9" s="10"/>
      <c r="E9" s="10"/>
      <c r="F9" s="11" t="s">
        <v>8</v>
      </c>
      <c r="G9" s="11"/>
      <c r="H9" s="11"/>
      <c r="I9" s="11"/>
      <c r="J9" s="6">
        <v>0.9471926251053637</v>
      </c>
      <c r="K9" s="6"/>
      <c r="L9" s="6"/>
      <c r="M9" s="6"/>
    </row>
    <row r="10" spans="2:13" x14ac:dyDescent="0.25">
      <c r="B10" s="10" t="s">
        <v>32</v>
      </c>
      <c r="C10" s="10"/>
      <c r="D10" s="10"/>
      <c r="E10" s="10"/>
      <c r="F10" s="11" t="s">
        <v>11</v>
      </c>
      <c r="G10" s="11"/>
      <c r="H10" s="11"/>
      <c r="I10" s="11"/>
      <c r="J10" s="6">
        <v>0.8536008155003336</v>
      </c>
      <c r="K10" s="6"/>
      <c r="L10" s="6"/>
      <c r="M10" s="6"/>
    </row>
    <row r="11" spans="2:13" x14ac:dyDescent="0.25">
      <c r="B11" s="10" t="s">
        <v>33</v>
      </c>
      <c r="C11" s="10"/>
      <c r="D11" s="10"/>
      <c r="E11" s="10"/>
      <c r="F11" s="11" t="s">
        <v>8</v>
      </c>
      <c r="G11" s="11"/>
      <c r="H11" s="11"/>
      <c r="I11" s="11"/>
      <c r="J11" s="6">
        <v>0.005454773094236809</v>
      </c>
      <c r="K11" s="6"/>
      <c r="L11" s="6"/>
      <c r="M11" s="6"/>
    </row>
    <row r="12" spans="2:13" x14ac:dyDescent="0.25">
      <c r="B12" s="10" t="s">
        <v>33</v>
      </c>
      <c r="C12" s="10"/>
      <c r="D12" s="10"/>
      <c r="E12" s="10"/>
      <c r="F12" s="11" t="s">
        <v>11</v>
      </c>
      <c r="G12" s="11"/>
      <c r="H12" s="11"/>
      <c r="I12" s="11"/>
      <c r="J12" s="6">
        <v>0.3438057888239483</v>
      </c>
      <c r="K12" s="6"/>
      <c r="L12" s="6"/>
      <c r="M12" s="6"/>
    </row>
    <row r="13" spans="2:13" x14ac:dyDescent="0.25">
      <c r="B13" s="10" t="s">
        <v>34</v>
      </c>
      <c r="C13" s="10"/>
      <c r="D13" s="10"/>
      <c r="E13" s="10"/>
      <c r="F13" s="11" t="s">
        <v>8</v>
      </c>
      <c r="G13" s="11"/>
      <c r="H13" s="11"/>
      <c r="I13" s="11"/>
      <c r="J13" s="6">
        <v>0.9689267654801226</v>
      </c>
      <c r="K13" s="6"/>
      <c r="L13" s="6"/>
      <c r="M13" s="6"/>
    </row>
    <row r="14" spans="2:13" x14ac:dyDescent="0.25">
      <c r="B14" s="10" t="s">
        <v>34</v>
      </c>
      <c r="C14" s="10"/>
      <c r="D14" s="10"/>
      <c r="E14" s="10"/>
      <c r="F14" s="11" t="s">
        <v>11</v>
      </c>
      <c r="G14" s="11"/>
      <c r="H14" s="11"/>
      <c r="I14" s="11"/>
      <c r="J14" s="6">
        <v>0.8057808650067033</v>
      </c>
      <c r="K14" s="6"/>
      <c r="L14" s="6"/>
      <c r="M14" s="6"/>
    </row>
    <row r="15" spans="2:13" x14ac:dyDescent="0.25">
      <c r="B15" s="10" t="s">
        <v>35</v>
      </c>
      <c r="C15" s="10"/>
      <c r="D15" s="10"/>
      <c r="E15" s="10"/>
      <c r="F15" s="11" t="s">
        <v>24</v>
      </c>
      <c r="G15" s="11"/>
      <c r="H15" s="11"/>
      <c r="I15" s="11"/>
      <c r="J15" s="6">
        <v>0.04819686987304461</v>
      </c>
      <c r="K15" s="6"/>
      <c r="L15" s="6"/>
      <c r="M15" s="6"/>
    </row>
    <row r="18" spans="2:13" x14ac:dyDescent="0.25">
      <c r="B18" s="12" t="s">
        <v>36</v>
      </c>
      <c r="C18" s="12"/>
      <c r="D18" s="12"/>
      <c r="E18" s="12"/>
      <c r="F18" s="12"/>
      <c r="G18" s="12"/>
      <c r="H18" s="12" t="s">
        <v>37</v>
      </c>
      <c r="I18" s="12"/>
      <c r="J18" s="12"/>
      <c r="K18" s="12"/>
      <c r="L18" s="12"/>
      <c r="M18" s="12"/>
    </row>
    <row r="19" ht="42" customHeight="1" spans="2:13" x14ac:dyDescent="0.25">
      <c r="B19" s="13" t="s">
        <v>38</v>
      </c>
      <c r="C19" s="13"/>
      <c r="D19" s="13"/>
      <c r="E19" s="13"/>
      <c r="F19" s="13"/>
      <c r="G19" s="13"/>
      <c r="H19" s="13" t="s">
        <v>39</v>
      </c>
      <c r="I19" s="13"/>
      <c r="J19" s="13"/>
      <c r="K19" s="13"/>
      <c r="L19" s="13"/>
      <c r="M19" s="13"/>
    </row>
    <row r="20" spans="2:13" x14ac:dyDescent="0.25">
      <c r="B20" s="14" t="s">
        <v>40</v>
      </c>
      <c r="C20" s="14"/>
      <c r="D20" s="14"/>
      <c r="E20" s="15"/>
      <c r="F20" s="16">
        <v>2.34</v>
      </c>
      <c r="G20" s="16"/>
      <c r="H20" s="14" t="s">
        <v>40</v>
      </c>
      <c r="I20" s="14"/>
      <c r="J20" s="14"/>
      <c r="K20" s="15"/>
      <c r="L20" s="16">
        <v>2.34</v>
      </c>
      <c r="M20" s="16"/>
    </row>
    <row r="21" spans="2:13" x14ac:dyDescent="0.25">
      <c r="B21" s="14" t="s">
        <v>41</v>
      </c>
      <c r="C21" s="14"/>
      <c r="D21" s="14"/>
      <c r="E21" s="15"/>
      <c r="F21" s="16">
        <v>0.2</v>
      </c>
      <c r="G21" s="16"/>
      <c r="H21" s="14" t="s">
        <v>41</v>
      </c>
      <c r="I21" s="14"/>
      <c r="J21" s="14"/>
      <c r="K21" s="15"/>
      <c r="L21" s="16">
        <v>0.2</v>
      </c>
      <c r="M21" s="16"/>
    </row>
    <row r="22" spans="2:13" x14ac:dyDescent="0.25">
      <c r="B22" s="14" t="s">
        <v>42</v>
      </c>
      <c r="C22" s="14"/>
      <c r="D22" s="14"/>
      <c r="E22" s="15"/>
      <c r="F22" s="17">
        <v>1000</v>
      </c>
      <c r="G22" s="17"/>
      <c r="H22" s="14" t="s">
        <v>42</v>
      </c>
      <c r="I22" s="14"/>
      <c r="J22" s="14"/>
      <c r="K22" s="15"/>
      <c r="L22" s="17">
        <v>1000</v>
      </c>
      <c r="M22" s="17"/>
    </row>
    <row r="23" spans="2:13" x14ac:dyDescent="0.25">
      <c r="B23" s="14" t="s">
        <v>43</v>
      </c>
      <c r="C23" s="14"/>
      <c r="D23" s="14"/>
      <c r="E23" s="15"/>
      <c r="F23" s="17">
        <v>30</v>
      </c>
      <c r="G23" s="17"/>
      <c r="H23" s="14" t="s">
        <v>43</v>
      </c>
      <c r="I23" s="14"/>
      <c r="J23" s="14"/>
      <c r="K23" s="15"/>
      <c r="L23" s="17">
        <v>100</v>
      </c>
      <c r="M23" s="17"/>
    </row>
    <row r="24" spans="2:13" x14ac:dyDescent="0.25">
      <c r="B24" s="14" t="s">
        <v>44</v>
      </c>
      <c r="C24" s="14"/>
      <c r="D24" s="14"/>
      <c r="E24" s="15"/>
      <c r="F24" s="16">
        <v>0.05</v>
      </c>
      <c r="G24" s="16"/>
      <c r="H24" s="14" t="s">
        <v>44</v>
      </c>
      <c r="I24" s="14"/>
      <c r="J24" s="14"/>
      <c r="K24" s="15"/>
      <c r="L24" s="16">
        <v>0.05</v>
      </c>
      <c r="M24" s="16"/>
    </row>
    <row r="25" spans="2:13" x14ac:dyDescent="0.25">
      <c r="B25" s="14" t="s">
        <v>45</v>
      </c>
      <c r="C25" s="14"/>
      <c r="D25" s="14"/>
      <c r="E25" s="15"/>
      <c r="F25" s="18">
        <v>1</v>
      </c>
      <c r="G25" s="18"/>
      <c r="H25" s="14" t="s">
        <v>45</v>
      </c>
      <c r="I25" s="14"/>
      <c r="J25" s="14"/>
      <c r="K25" s="15"/>
      <c r="L25" s="18">
        <f>SQRT((L22-L23)/(L22-1))</f>
        <v>0.949157995752499</v>
      </c>
      <c r="M25" s="18"/>
    </row>
    <row r="26" spans="2:13" x14ac:dyDescent="0.25">
      <c r="B26" s="14" t="s">
        <v>46</v>
      </c>
      <c r="C26" s="14"/>
      <c r="D26" s="14"/>
      <c r="E26" s="15"/>
      <c r="F26" s="18">
        <f>(F21/SQRT(F23))*F25</f>
        <v>0.03651483716701107</v>
      </c>
      <c r="G26" s="18"/>
      <c r="H26" s="14" t="s">
        <v>46</v>
      </c>
      <c r="I26" s="14"/>
      <c r="J26" s="14"/>
      <c r="K26" s="15"/>
      <c r="L26" s="18">
        <f>(L21/SQRT(L23))*L25</f>
        <v>0.01898315991504998</v>
      </c>
      <c r="M26" s="18"/>
    </row>
    <row r="27" spans="2:13" x14ac:dyDescent="0.25">
      <c r="B27" s="14" t="s">
        <v>47</v>
      </c>
      <c r="C27" s="14"/>
      <c r="D27" s="14"/>
      <c r="E27" s="15"/>
      <c r="F27" s="18">
        <f>F24/F26</f>
        <v>1.3693063937629153</v>
      </c>
      <c r="G27" s="18"/>
      <c r="H27" s="14" t="s">
        <v>47</v>
      </c>
      <c r="I27" s="14"/>
      <c r="J27" s="14"/>
      <c r="K27" s="15"/>
      <c r="L27" s="18">
        <f>L24/L26</f>
        <v>2.633913438213185</v>
      </c>
      <c r="M27" s="18"/>
    </row>
    <row r="28" spans="2:13" x14ac:dyDescent="0.25">
      <c r="B28" s="14" t="s">
        <v>4</v>
      </c>
      <c r="C28" s="14"/>
      <c r="D28" s="14"/>
      <c r="E28" s="15"/>
      <c r="F28" s="18">
        <f>(2*NORMSDIST(F27))-1</f>
        <v>0.8290963594935552</v>
      </c>
      <c r="G28" s="18"/>
      <c r="H28" s="14" t="s">
        <v>4</v>
      </c>
      <c r="I28" s="14"/>
      <c r="J28" s="14"/>
      <c r="K28" s="15"/>
      <c r="L28" s="18">
        <f>(2*NORMSDIST(L27))-1</f>
        <v>0.9915592203167771</v>
      </c>
      <c r="M28" s="18"/>
    </row>
    <row r="29" spans="2:13" x14ac:dyDescent="0.25">
      <c r="B29" s="19" t="s">
        <v>48</v>
      </c>
      <c r="C29" s="19"/>
      <c r="D29" s="19"/>
      <c r="E29" s="15"/>
      <c r="F29" s="20">
        <f>F28</f>
        <v>0.8290963594935552</v>
      </c>
      <c r="G29" s="20"/>
      <c r="H29" s="19" t="s">
        <v>48</v>
      </c>
      <c r="I29" s="19"/>
      <c r="J29" s="19"/>
      <c r="K29" s="15"/>
      <c r="L29" s="20">
        <f>L28</f>
        <v>0.9915592203167771</v>
      </c>
      <c r="M29" s="20"/>
    </row>
    <row r="30" ht="30" customHeight="1" spans="2:13" x14ac:dyDescent="0.25">
      <c r="B30" s="21" t="s">
        <v>49</v>
      </c>
      <c r="C30" s="21"/>
      <c r="D30" s="21"/>
      <c r="E30" s="21"/>
      <c r="F30" s="21"/>
      <c r="G30" s="21"/>
      <c r="H30" s="21" t="s">
        <v>50</v>
      </c>
      <c r="I30" s="21"/>
      <c r="J30" s="21"/>
      <c r="K30" s="21"/>
      <c r="L30" s="21"/>
      <c r="M30" s="21"/>
    </row>
    <row r="33" spans="2:13" x14ac:dyDescent="0.25">
      <c r="B33" s="12" t="s">
        <v>51</v>
      </c>
      <c r="C33" s="12"/>
      <c r="D33" s="12"/>
      <c r="E33" s="12"/>
      <c r="F33" s="12"/>
      <c r="G33" s="12"/>
      <c r="H33" s="12" t="s">
        <v>52</v>
      </c>
      <c r="I33" s="12"/>
      <c r="J33" s="12"/>
      <c r="K33" s="12"/>
      <c r="L33" s="12"/>
      <c r="M33" s="12"/>
    </row>
    <row r="34" ht="42" customHeight="1" spans="2:13" x14ac:dyDescent="0.25">
      <c r="B34" s="13" t="s">
        <v>53</v>
      </c>
      <c r="C34" s="13"/>
      <c r="D34" s="13"/>
      <c r="E34" s="13"/>
      <c r="F34" s="13"/>
      <c r="G34" s="13"/>
      <c r="H34" s="13" t="s">
        <v>54</v>
      </c>
      <c r="I34" s="13"/>
      <c r="J34" s="13"/>
      <c r="K34" s="13"/>
      <c r="L34" s="13"/>
      <c r="M34" s="13"/>
    </row>
    <row r="35" spans="2:13" x14ac:dyDescent="0.25">
      <c r="B35" s="14" t="s">
        <v>40</v>
      </c>
      <c r="C35" s="14"/>
      <c r="D35" s="14"/>
      <c r="E35" s="15"/>
      <c r="F35" s="16">
        <v>15</v>
      </c>
      <c r="G35" s="16"/>
      <c r="H35" s="14" t="s">
        <v>40</v>
      </c>
      <c r="I35" s="14"/>
      <c r="J35" s="14"/>
      <c r="K35" s="15"/>
      <c r="L35" s="16">
        <v>15</v>
      </c>
      <c r="M35" s="16"/>
    </row>
    <row r="36" spans="2:13" x14ac:dyDescent="0.25">
      <c r="B36" s="14" t="s">
        <v>41</v>
      </c>
      <c r="C36" s="14"/>
      <c r="D36" s="14"/>
      <c r="E36" s="15"/>
      <c r="F36" s="16">
        <v>4</v>
      </c>
      <c r="G36" s="16"/>
      <c r="H36" s="14" t="s">
        <v>41</v>
      </c>
      <c r="I36" s="14"/>
      <c r="J36" s="14"/>
      <c r="K36" s="15"/>
      <c r="L36" s="16">
        <v>4</v>
      </c>
      <c r="M36" s="16"/>
    </row>
    <row r="37" spans="2:13" x14ac:dyDescent="0.25">
      <c r="B37" s="14" t="s">
        <v>42</v>
      </c>
      <c r="C37" s="14"/>
      <c r="D37" s="14"/>
      <c r="E37" s="15"/>
      <c r="F37" s="3" t="s">
        <v>55</v>
      </c>
      <c r="G37" s="3"/>
      <c r="H37" s="14" t="s">
        <v>42</v>
      </c>
      <c r="I37" s="14"/>
      <c r="J37" s="14"/>
      <c r="K37" s="15"/>
      <c r="L37" s="3" t="s">
        <v>55</v>
      </c>
      <c r="M37" s="3"/>
    </row>
    <row r="38" spans="2:13" x14ac:dyDescent="0.25">
      <c r="B38" s="14" t="s">
        <v>43</v>
      </c>
      <c r="C38" s="14"/>
      <c r="D38" s="14"/>
      <c r="E38" s="15"/>
      <c r="F38" s="17">
        <v>60</v>
      </c>
      <c r="G38" s="17"/>
      <c r="H38" s="14" t="s">
        <v>43</v>
      </c>
      <c r="I38" s="14"/>
      <c r="J38" s="14"/>
      <c r="K38" s="15"/>
      <c r="L38" s="17">
        <v>60</v>
      </c>
      <c r="M38" s="17"/>
    </row>
    <row r="39" spans="2:13" x14ac:dyDescent="0.25">
      <c r="B39" s="14" t="s">
        <v>44</v>
      </c>
      <c r="C39" s="14"/>
      <c r="D39" s="14"/>
      <c r="E39" s="15"/>
      <c r="F39" s="16">
        <v>1</v>
      </c>
      <c r="G39" s="16"/>
      <c r="H39" s="14" t="s">
        <v>44</v>
      </c>
      <c r="I39" s="14"/>
      <c r="J39" s="14"/>
      <c r="K39" s="15"/>
      <c r="L39" s="16">
        <v>0.75</v>
      </c>
      <c r="M39" s="16"/>
    </row>
    <row r="40" spans="2:13" x14ac:dyDescent="0.25">
      <c r="B40" s="14" t="s">
        <v>45</v>
      </c>
      <c r="C40" s="14"/>
      <c r="D40" s="14"/>
      <c r="E40" s="15"/>
      <c r="F40" s="18">
        <v>1</v>
      </c>
      <c r="G40" s="18"/>
      <c r="H40" s="14" t="s">
        <v>45</v>
      </c>
      <c r="I40" s="14"/>
      <c r="J40" s="14"/>
      <c r="K40" s="15"/>
      <c r="L40" s="18">
        <v>1</v>
      </c>
      <c r="M40" s="18"/>
    </row>
    <row r="41" spans="2:13" x14ac:dyDescent="0.25">
      <c r="B41" s="14" t="s">
        <v>46</v>
      </c>
      <c r="C41" s="14"/>
      <c r="D41" s="14"/>
      <c r="E41" s="15"/>
      <c r="F41" s="18">
        <f>(F36/SQRT(F38))*F40</f>
        <v>0.5163977794943222</v>
      </c>
      <c r="G41" s="18"/>
      <c r="H41" s="14" t="s">
        <v>46</v>
      </c>
      <c r="I41" s="14"/>
      <c r="J41" s="14"/>
      <c r="K41" s="15"/>
      <c r="L41" s="18">
        <f>(L36/SQRT(L38))*L40</f>
        <v>0.5163977794943222</v>
      </c>
      <c r="M41" s="18"/>
    </row>
    <row r="42" spans="2:13" x14ac:dyDescent="0.25">
      <c r="B42" s="14" t="s">
        <v>47</v>
      </c>
      <c r="C42" s="14"/>
      <c r="D42" s="14"/>
      <c r="E42" s="15"/>
      <c r="F42" s="18">
        <f>F39/F41</f>
        <v>1.9364916731037087</v>
      </c>
      <c r="G42" s="18"/>
      <c r="H42" s="14" t="s">
        <v>47</v>
      </c>
      <c r="I42" s="14"/>
      <c r="J42" s="14"/>
      <c r="K42" s="15"/>
      <c r="L42" s="18">
        <f>L39/L41</f>
        <v>1.4523687548277815</v>
      </c>
      <c r="M42" s="18"/>
    </row>
    <row r="43" spans="2:13" x14ac:dyDescent="0.25">
      <c r="B43" s="14" t="s">
        <v>4</v>
      </c>
      <c r="C43" s="14"/>
      <c r="D43" s="14"/>
      <c r="E43" s="15"/>
      <c r="F43" s="18">
        <f>(2*NORMSDIST(F42))-1</f>
        <v>0.9471926251053637</v>
      </c>
      <c r="G43" s="18"/>
      <c r="H43" s="14" t="s">
        <v>4</v>
      </c>
      <c r="I43" s="14"/>
      <c r="J43" s="14"/>
      <c r="K43" s="15"/>
      <c r="L43" s="18">
        <f>(2*NORMSDIST(L42))-1</f>
        <v>0.8536008155003336</v>
      </c>
      <c r="M43" s="18"/>
    </row>
    <row r="44" spans="2:13" x14ac:dyDescent="0.25">
      <c r="B44" s="19" t="s">
        <v>48</v>
      </c>
      <c r="C44" s="19"/>
      <c r="D44" s="19"/>
      <c r="E44" s="15"/>
      <c r="F44" s="20">
        <f>F43</f>
        <v>0.9471926251053637</v>
      </c>
      <c r="G44" s="20"/>
      <c r="H44" s="19" t="s">
        <v>48</v>
      </c>
      <c r="I44" s="19"/>
      <c r="J44" s="19"/>
      <c r="K44" s="15"/>
      <c r="L44" s="20">
        <f>L43</f>
        <v>0.8536008155003336</v>
      </c>
      <c r="M44" s="20"/>
    </row>
    <row r="45" ht="30" customHeight="1" spans="2:13" x14ac:dyDescent="0.25">
      <c r="B45" s="21" t="s">
        <v>56</v>
      </c>
      <c r="C45" s="21"/>
      <c r="D45" s="21"/>
      <c r="E45" s="21"/>
      <c r="F45" s="21"/>
      <c r="G45" s="21"/>
      <c r="H45" s="21" t="s">
        <v>57</v>
      </c>
      <c r="I45" s="21"/>
      <c r="J45" s="21"/>
      <c r="K45" s="21"/>
      <c r="L45" s="21"/>
      <c r="M45" s="21"/>
    </row>
    <row r="48" spans="2:13" x14ac:dyDescent="0.25">
      <c r="B48" s="12" t="s">
        <v>58</v>
      </c>
      <c r="C48" s="12"/>
      <c r="D48" s="12"/>
      <c r="E48" s="12"/>
      <c r="F48" s="12"/>
      <c r="G48" s="12"/>
      <c r="H48" s="12" t="s">
        <v>59</v>
      </c>
      <c r="I48" s="12"/>
      <c r="J48" s="12"/>
      <c r="K48" s="12"/>
      <c r="L48" s="12"/>
      <c r="M48" s="12"/>
    </row>
    <row r="49" ht="42" customHeight="1" spans="2:13" x14ac:dyDescent="0.25">
      <c r="B49" s="13" t="s">
        <v>60</v>
      </c>
      <c r="C49" s="13"/>
      <c r="D49" s="13"/>
      <c r="E49" s="13"/>
      <c r="F49" s="13"/>
      <c r="G49" s="13"/>
      <c r="H49" s="13" t="s">
        <v>61</v>
      </c>
      <c r="I49" s="13"/>
      <c r="J49" s="13"/>
      <c r="K49" s="13"/>
      <c r="L49" s="13"/>
      <c r="M49" s="13"/>
    </row>
    <row r="50" spans="2:13" x14ac:dyDescent="0.25">
      <c r="B50" s="14" t="s">
        <v>40</v>
      </c>
      <c r="C50" s="14"/>
      <c r="D50" s="14"/>
      <c r="E50" s="15"/>
      <c r="F50" s="16">
        <v>1210</v>
      </c>
      <c r="G50" s="16"/>
      <c r="H50" s="14" t="s">
        <v>40</v>
      </c>
      <c r="I50" s="14"/>
      <c r="J50" s="14"/>
      <c r="K50" s="15"/>
      <c r="L50" s="16">
        <v>1210</v>
      </c>
      <c r="M50" s="16"/>
    </row>
    <row r="51" spans="2:13" x14ac:dyDescent="0.25">
      <c r="B51" s="14" t="s">
        <v>41</v>
      </c>
      <c r="C51" s="14"/>
      <c r="D51" s="14"/>
      <c r="E51" s="15"/>
      <c r="F51" s="16">
        <v>250</v>
      </c>
      <c r="G51" s="16"/>
      <c r="H51" s="14" t="s">
        <v>41</v>
      </c>
      <c r="I51" s="14"/>
      <c r="J51" s="14"/>
      <c r="K51" s="15"/>
      <c r="L51" s="16">
        <v>250</v>
      </c>
      <c r="M51" s="16"/>
    </row>
    <row r="52" spans="2:13" x14ac:dyDescent="0.25">
      <c r="B52" s="14" t="s">
        <v>43</v>
      </c>
      <c r="C52" s="14"/>
      <c r="D52" s="14"/>
      <c r="E52" s="15"/>
      <c r="F52" s="17">
        <v>50</v>
      </c>
      <c r="G52" s="17"/>
      <c r="H52" s="14" t="s">
        <v>43</v>
      </c>
      <c r="I52" s="14"/>
      <c r="J52" s="14"/>
      <c r="K52" s="15"/>
      <c r="L52" s="17">
        <v>50</v>
      </c>
      <c r="M52" s="17"/>
    </row>
    <row r="53" spans="2:13" x14ac:dyDescent="0.25">
      <c r="B53" s="14" t="s">
        <v>46</v>
      </c>
      <c r="C53" s="14"/>
      <c r="D53" s="14"/>
      <c r="E53" s="15"/>
      <c r="F53" s="18">
        <f>F51/SQRT(F52)</f>
        <v>35.35533905932738</v>
      </c>
      <c r="G53" s="18"/>
      <c r="H53" s="14" t="s">
        <v>46</v>
      </c>
      <c r="I53" s="14"/>
      <c r="J53" s="14"/>
      <c r="K53" s="15"/>
      <c r="L53" s="18">
        <f>L51/SQRT(L52)</f>
        <v>35.35533905932738</v>
      </c>
      <c r="M53" s="18"/>
    </row>
    <row r="54" spans="2:13" x14ac:dyDescent="0.25">
      <c r="B54" s="14" t="s">
        <v>62</v>
      </c>
      <c r="C54" s="14"/>
      <c r="D54" s="14"/>
      <c r="E54" s="15"/>
      <c r="F54" s="16">
        <v>1300</v>
      </c>
      <c r="G54" s="16"/>
      <c r="H54" s="14" t="s">
        <v>62</v>
      </c>
      <c r="I54" s="14"/>
      <c r="J54" s="14"/>
      <c r="K54" s="15"/>
      <c r="L54" s="16">
        <v>1150</v>
      </c>
      <c r="M54" s="16"/>
    </row>
    <row r="55" spans="2:13" x14ac:dyDescent="0.25">
      <c r="B55" s="14" t="s">
        <v>63</v>
      </c>
      <c r="C55" s="14"/>
      <c r="D55" s="14"/>
      <c r="E55" s="15"/>
      <c r="F55" s="3" t="s">
        <v>55</v>
      </c>
      <c r="G55" s="3"/>
      <c r="H55" s="14" t="s">
        <v>63</v>
      </c>
      <c r="I55" s="14"/>
      <c r="J55" s="14"/>
      <c r="K55" s="15"/>
      <c r="L55" s="16">
        <v>1200</v>
      </c>
      <c r="M55" s="16"/>
    </row>
    <row r="56" spans="2:13" x14ac:dyDescent="0.25">
      <c r="B56" s="14" t="s">
        <v>64</v>
      </c>
      <c r="C56" s="14"/>
      <c r="D56" s="14"/>
      <c r="E56" s="15"/>
      <c r="F56" s="18">
        <f>(F54-F50)/F53</f>
        <v>2.545584412271571</v>
      </c>
      <c r="G56" s="18"/>
      <c r="H56" s="14" t="s">
        <v>64</v>
      </c>
      <c r="I56" s="14"/>
      <c r="J56" s="14"/>
      <c r="K56" s="15"/>
      <c r="L56" s="18">
        <f>(L54-L50)/L53</f>
        <v>-1.697056274847714</v>
      </c>
      <c r="M56" s="18"/>
    </row>
    <row r="57" spans="2:13" x14ac:dyDescent="0.25">
      <c r="B57" s="14" t="s">
        <v>65</v>
      </c>
      <c r="C57" s="14"/>
      <c r="D57" s="14"/>
      <c r="E57" s="15"/>
      <c r="F57" s="3" t="s">
        <v>55</v>
      </c>
      <c r="G57" s="3"/>
      <c r="H57" s="14" t="s">
        <v>65</v>
      </c>
      <c r="I57" s="14"/>
      <c r="J57" s="14"/>
      <c r="K57" s="15"/>
      <c r="L57" s="18">
        <f>(L55-L50)/L53</f>
        <v>-0.282842712474619</v>
      </c>
      <c r="M57" s="18"/>
    </row>
    <row r="58" spans="2:13" x14ac:dyDescent="0.25">
      <c r="B58" s="14" t="s">
        <v>4</v>
      </c>
      <c r="C58" s="14"/>
      <c r="D58" s="14"/>
      <c r="E58" s="15"/>
      <c r="F58" s="18">
        <f>1-NORMSDIST(F56)</f>
        <v>0.005454773094236809</v>
      </c>
      <c r="G58" s="18"/>
      <c r="H58" s="14" t="s">
        <v>4</v>
      </c>
      <c r="I58" s="14"/>
      <c r="J58" s="14"/>
      <c r="K58" s="15"/>
      <c r="L58" s="18">
        <f>NORMSDIST(L57)-NORMSDIST(L56)</f>
        <v>0.3438057888239483</v>
      </c>
      <c r="M58" s="18"/>
    </row>
    <row r="59" spans="2:13" x14ac:dyDescent="0.25">
      <c r="B59" s="19" t="s">
        <v>48</v>
      </c>
      <c r="C59" s="19"/>
      <c r="D59" s="19"/>
      <c r="E59" s="15"/>
      <c r="F59" s="20">
        <f>F58</f>
        <v>0.005454773094236809</v>
      </c>
      <c r="G59" s="20"/>
      <c r="H59" s="19" t="s">
        <v>48</v>
      </c>
      <c r="I59" s="19"/>
      <c r="J59" s="19"/>
      <c r="K59" s="15"/>
      <c r="L59" s="20">
        <f>L58</f>
        <v>0.3438057888239483</v>
      </c>
      <c r="M59" s="20"/>
    </row>
    <row r="60" ht="28" customHeight="1" spans="2:13" x14ac:dyDescent="0.25">
      <c r="B60" s="22" t="s">
        <v>66</v>
      </c>
      <c r="C60" s="22"/>
      <c r="D60" s="22"/>
      <c r="E60" s="22"/>
      <c r="F60" s="22"/>
      <c r="G60" s="22"/>
      <c r="H60" s="22" t="s">
        <v>67</v>
      </c>
      <c r="I60" s="22"/>
      <c r="J60" s="22"/>
      <c r="K60" s="22"/>
      <c r="L60" s="22"/>
      <c r="M60" s="22"/>
    </row>
    <row r="63" spans="2:13" x14ac:dyDescent="0.25">
      <c r="B63" s="12" t="s">
        <v>68</v>
      </c>
      <c r="C63" s="12"/>
      <c r="D63" s="12"/>
      <c r="E63" s="12"/>
      <c r="F63" s="12"/>
      <c r="G63" s="12"/>
      <c r="H63" s="12" t="s">
        <v>69</v>
      </c>
      <c r="I63" s="12"/>
      <c r="J63" s="12"/>
      <c r="K63" s="12"/>
      <c r="L63" s="12"/>
      <c r="M63" s="12"/>
    </row>
    <row r="64" ht="45" customHeight="1" spans="2:13" x14ac:dyDescent="0.25">
      <c r="B64" s="13" t="s">
        <v>70</v>
      </c>
      <c r="C64" s="13"/>
      <c r="D64" s="13"/>
      <c r="E64" s="13"/>
      <c r="F64" s="13"/>
      <c r="G64" s="13"/>
      <c r="H64" s="13" t="s">
        <v>71</v>
      </c>
      <c r="I64" s="13"/>
      <c r="J64" s="13"/>
      <c r="K64" s="13"/>
      <c r="L64" s="13"/>
      <c r="M64" s="13"/>
    </row>
    <row r="65" spans="2:13" x14ac:dyDescent="0.25">
      <c r="B65" s="14" t="s">
        <v>72</v>
      </c>
      <c r="C65" s="14"/>
      <c r="D65" s="14"/>
      <c r="E65" s="15"/>
      <c r="F65" s="23">
        <v>0.25</v>
      </c>
      <c r="G65" s="23"/>
      <c r="H65" s="14" t="s">
        <v>72</v>
      </c>
      <c r="I65" s="14"/>
      <c r="J65" s="14"/>
      <c r="K65" s="15"/>
      <c r="L65" s="23">
        <v>0.25</v>
      </c>
      <c r="M65" s="23"/>
    </row>
    <row r="66" spans="2:13" x14ac:dyDescent="0.25">
      <c r="B66" s="14" t="s">
        <v>73</v>
      </c>
      <c r="C66" s="14"/>
      <c r="D66" s="14"/>
      <c r="E66" s="15"/>
      <c r="F66" s="23">
        <f>1-F65</f>
        <v>0.75</v>
      </c>
      <c r="G66" s="23"/>
      <c r="H66" s="14" t="s">
        <v>73</v>
      </c>
      <c r="I66" s="14"/>
      <c r="J66" s="14"/>
      <c r="K66" s="15"/>
      <c r="L66" s="23">
        <f>1-L65</f>
        <v>0.75</v>
      </c>
      <c r="M66" s="23"/>
    </row>
    <row r="67" spans="2:13" x14ac:dyDescent="0.25">
      <c r="B67" s="14" t="s">
        <v>42</v>
      </c>
      <c r="C67" s="14"/>
      <c r="D67" s="14"/>
      <c r="E67" s="15"/>
      <c r="F67" s="17">
        <v>5000</v>
      </c>
      <c r="G67" s="17"/>
      <c r="H67" s="14" t="s">
        <v>42</v>
      </c>
      <c r="I67" s="14"/>
      <c r="J67" s="14"/>
      <c r="K67" s="15"/>
      <c r="L67" s="17">
        <v>5000</v>
      </c>
      <c r="M67" s="17"/>
    </row>
    <row r="68" spans="2:13" x14ac:dyDescent="0.25">
      <c r="B68" s="14" t="s">
        <v>43</v>
      </c>
      <c r="C68" s="14"/>
      <c r="D68" s="14"/>
      <c r="E68" s="15"/>
      <c r="F68" s="17">
        <v>326</v>
      </c>
      <c r="G68" s="17"/>
      <c r="H68" s="14" t="s">
        <v>43</v>
      </c>
      <c r="I68" s="14"/>
      <c r="J68" s="14"/>
      <c r="K68" s="15"/>
      <c r="L68" s="17">
        <v>326</v>
      </c>
      <c r="M68" s="17"/>
    </row>
    <row r="69" spans="2:13" x14ac:dyDescent="0.25">
      <c r="B69" s="14" t="s">
        <v>62</v>
      </c>
      <c r="C69" s="14"/>
      <c r="D69" s="14"/>
      <c r="E69" s="15"/>
      <c r="F69" s="23">
        <v>0.2</v>
      </c>
      <c r="G69" s="23"/>
      <c r="H69" s="14" t="s">
        <v>62</v>
      </c>
      <c r="I69" s="14"/>
      <c r="J69" s="14"/>
      <c r="K69" s="15"/>
      <c r="L69" s="23">
        <v>0.23</v>
      </c>
      <c r="M69" s="23"/>
    </row>
    <row r="70" spans="2:13" x14ac:dyDescent="0.25">
      <c r="B70" s="14" t="s">
        <v>63</v>
      </c>
      <c r="C70" s="14"/>
      <c r="D70" s="14"/>
      <c r="E70" s="15"/>
      <c r="F70" s="23">
        <v>0.3</v>
      </c>
      <c r="G70" s="23"/>
      <c r="H70" s="14" t="s">
        <v>63</v>
      </c>
      <c r="I70" s="14"/>
      <c r="J70" s="14"/>
      <c r="K70" s="15"/>
      <c r="L70" s="3" t="s">
        <v>55</v>
      </c>
      <c r="M70" s="3"/>
    </row>
    <row r="71" spans="2:13" x14ac:dyDescent="0.25">
      <c r="B71" s="14" t="s">
        <v>45</v>
      </c>
      <c r="C71" s="14"/>
      <c r="D71" s="14"/>
      <c r="E71" s="15"/>
      <c r="F71" s="18">
        <f>SQRT((F67-F68)/(F67-1))</f>
        <v>0.9669472567826437</v>
      </c>
      <c r="G71" s="18"/>
      <c r="H71" s="14" t="s">
        <v>45</v>
      </c>
      <c r="I71" s="14"/>
      <c r="J71" s="14"/>
      <c r="K71" s="15"/>
      <c r="L71" s="18">
        <f>SQRT((L67-L68)/(L67-1))</f>
        <v>0.9669472567826437</v>
      </c>
      <c r="M71" s="18"/>
    </row>
    <row r="72" spans="2:13" x14ac:dyDescent="0.25">
      <c r="B72" s="14" t="s">
        <v>74</v>
      </c>
      <c r="C72" s="14"/>
      <c r="D72" s="14"/>
      <c r="E72" s="15"/>
      <c r="F72" s="18">
        <f>SQRT((F65*F66)/F68)*F71</f>
        <v>0.023189672839831366</v>
      </c>
      <c r="G72" s="18"/>
      <c r="H72" s="14" t="s">
        <v>74</v>
      </c>
      <c r="I72" s="14"/>
      <c r="J72" s="14"/>
      <c r="K72" s="15"/>
      <c r="L72" s="18">
        <f>SQRT((L65*L66)/L68)*L71</f>
        <v>0.023189672839831366</v>
      </c>
      <c r="M72" s="18"/>
    </row>
    <row r="73" spans="2:13" x14ac:dyDescent="0.25">
      <c r="B73" s="14" t="s">
        <v>64</v>
      </c>
      <c r="C73" s="14"/>
      <c r="D73" s="14"/>
      <c r="E73" s="15"/>
      <c r="F73" s="18">
        <f>(F69-F65)/F72</f>
        <v>-2.1561321863117575</v>
      </c>
      <c r="G73" s="18"/>
      <c r="H73" s="14" t="s">
        <v>64</v>
      </c>
      <c r="I73" s="14"/>
      <c r="J73" s="14"/>
      <c r="K73" s="15"/>
      <c r="L73" s="18">
        <f>(L69-L65)/L72</f>
        <v>-0.8624528745247029</v>
      </c>
      <c r="M73" s="18"/>
    </row>
    <row r="74" spans="2:13" x14ac:dyDescent="0.25">
      <c r="B74" s="14" t="s">
        <v>65</v>
      </c>
      <c r="C74" s="14"/>
      <c r="D74" s="14"/>
      <c r="E74" s="15"/>
      <c r="F74" s="18">
        <f>(F70-F65)/F72</f>
        <v>2.1561321863117575</v>
      </c>
      <c r="G74" s="18"/>
      <c r="H74" s="14" t="s">
        <v>65</v>
      </c>
      <c r="I74" s="14"/>
      <c r="J74" s="14"/>
      <c r="K74" s="15"/>
      <c r="L74" s="3" t="s">
        <v>55</v>
      </c>
      <c r="M74" s="3"/>
    </row>
    <row r="75" spans="2:13" x14ac:dyDescent="0.25">
      <c r="B75" s="14" t="s">
        <v>4</v>
      </c>
      <c r="C75" s="14"/>
      <c r="D75" s="14"/>
      <c r="E75" s="15"/>
      <c r="F75" s="18">
        <f>NORMSDIST(F74)-NORMSDIST(F73)</f>
        <v>0.9689267654801226</v>
      </c>
      <c r="G75" s="18"/>
      <c r="H75" s="14" t="s">
        <v>4</v>
      </c>
      <c r="I75" s="14"/>
      <c r="J75" s="14"/>
      <c r="K75" s="15"/>
      <c r="L75" s="18">
        <f>1-NORMSDIST(L73)</f>
        <v>0.8057808650067033</v>
      </c>
      <c r="M75" s="18"/>
    </row>
    <row r="76" spans="2:13" x14ac:dyDescent="0.25">
      <c r="B76" s="19" t="s">
        <v>48</v>
      </c>
      <c r="C76" s="19"/>
      <c r="D76" s="19"/>
      <c r="E76" s="15"/>
      <c r="F76" s="20">
        <f>F75</f>
        <v>0.9689267654801226</v>
      </c>
      <c r="G76" s="20"/>
      <c r="H76" s="19" t="s">
        <v>48</v>
      </c>
      <c r="I76" s="19"/>
      <c r="J76" s="19"/>
      <c r="K76" s="15"/>
      <c r="L76" s="20">
        <f>L75</f>
        <v>0.8057808650067033</v>
      </c>
      <c r="M76" s="20"/>
    </row>
    <row r="77" ht="34" customHeight="1" spans="2:13" x14ac:dyDescent="0.25">
      <c r="B77" s="22" t="s">
        <v>75</v>
      </c>
      <c r="C77" s="22"/>
      <c r="D77" s="22"/>
      <c r="E77" s="22"/>
      <c r="F77" s="22"/>
      <c r="G77" s="22"/>
      <c r="H77" s="22" t="s">
        <v>76</v>
      </c>
      <c r="I77" s="22"/>
      <c r="J77" s="22"/>
      <c r="K77" s="22"/>
      <c r="L77" s="22"/>
      <c r="M77" s="22"/>
    </row>
    <row r="80" spans="2:7" x14ac:dyDescent="0.25">
      <c r="B80" s="12" t="s">
        <v>35</v>
      </c>
      <c r="C80" s="12"/>
      <c r="D80" s="12"/>
      <c r="E80" s="12"/>
      <c r="F80" s="12"/>
      <c r="G80" s="12"/>
    </row>
    <row r="81" ht="45" customHeight="1" spans="2:7" x14ac:dyDescent="0.25">
      <c r="B81" s="13" t="s">
        <v>77</v>
      </c>
      <c r="C81" s="13"/>
      <c r="D81" s="13"/>
      <c r="E81" s="13"/>
      <c r="F81" s="13"/>
      <c r="G81" s="13"/>
    </row>
    <row r="82" spans="2:7" x14ac:dyDescent="0.25">
      <c r="B82" s="14" t="s">
        <v>72</v>
      </c>
      <c r="C82" s="14"/>
      <c r="D82" s="14"/>
      <c r="E82" s="15"/>
      <c r="F82" s="23">
        <v>0.03</v>
      </c>
      <c r="G82" s="23"/>
    </row>
    <row r="83" spans="2:7" x14ac:dyDescent="0.25">
      <c r="B83" s="14" t="s">
        <v>73</v>
      </c>
      <c r="C83" s="14"/>
      <c r="D83" s="14"/>
      <c r="E83" s="15"/>
      <c r="F83" s="23">
        <f>1-F82</f>
        <v>0.97</v>
      </c>
      <c r="G83" s="23"/>
    </row>
    <row r="84" spans="2:7" x14ac:dyDescent="0.25">
      <c r="B84" s="14" t="s">
        <v>42</v>
      </c>
      <c r="C84" s="14"/>
      <c r="D84" s="14"/>
      <c r="E84" s="15"/>
      <c r="F84" s="3" t="s">
        <v>55</v>
      </c>
      <c r="G84" s="3"/>
    </row>
    <row r="85" spans="2:7" x14ac:dyDescent="0.25">
      <c r="B85" s="14" t="s">
        <v>43</v>
      </c>
      <c r="C85" s="14"/>
      <c r="D85" s="14"/>
      <c r="E85" s="15"/>
      <c r="F85" s="17">
        <v>200</v>
      </c>
      <c r="G85" s="17"/>
    </row>
    <row r="86" spans="2:7" x14ac:dyDescent="0.25">
      <c r="B86" s="14" t="s">
        <v>62</v>
      </c>
      <c r="C86" s="14"/>
      <c r="D86" s="14"/>
      <c r="E86" s="15"/>
      <c r="F86" s="23">
        <v>0.05</v>
      </c>
      <c r="G86" s="23"/>
    </row>
    <row r="87" spans="2:7" x14ac:dyDescent="0.25">
      <c r="B87" s="14" t="s">
        <v>63</v>
      </c>
      <c r="C87" s="14"/>
      <c r="D87" s="14"/>
      <c r="E87" s="15"/>
      <c r="F87" s="23">
        <v>0.07</v>
      </c>
      <c r="G87" s="23"/>
    </row>
    <row r="88" spans="2:7" x14ac:dyDescent="0.25">
      <c r="B88" s="14" t="s">
        <v>45</v>
      </c>
      <c r="C88" s="14"/>
      <c r="D88" s="14"/>
      <c r="E88" s="15"/>
      <c r="F88" s="18">
        <v>1</v>
      </c>
      <c r="G88" s="18"/>
    </row>
    <row r="89" spans="2:7" x14ac:dyDescent="0.25">
      <c r="B89" s="14" t="s">
        <v>74</v>
      </c>
      <c r="C89" s="14"/>
      <c r="D89" s="14"/>
      <c r="E89" s="15"/>
      <c r="F89" s="18">
        <f>SQRT((F82*F83)/F85)*F88</f>
        <v>0.012062338081814818</v>
      </c>
      <c r="G89" s="18"/>
    </row>
    <row r="90" spans="2:7" x14ac:dyDescent="0.25">
      <c r="B90" s="14" t="s">
        <v>64</v>
      </c>
      <c r="C90" s="14"/>
      <c r="D90" s="14"/>
      <c r="E90" s="15"/>
      <c r="F90" s="18">
        <f>(F86-F82)/F89</f>
        <v>1.658053344579357</v>
      </c>
      <c r="G90" s="18"/>
    </row>
    <row r="91" spans="2:7" x14ac:dyDescent="0.25">
      <c r="B91" s="14" t="s">
        <v>65</v>
      </c>
      <c r="C91" s="14"/>
      <c r="D91" s="14"/>
      <c r="E91" s="15"/>
      <c r="F91" s="18">
        <f>(F87-F82)/F89</f>
        <v>3.316106689158714</v>
      </c>
      <c r="G91" s="18"/>
    </row>
    <row r="92" spans="2:7" x14ac:dyDescent="0.25">
      <c r="B92" s="14" t="s">
        <v>4</v>
      </c>
      <c r="C92" s="14"/>
      <c r="D92" s="14"/>
      <c r="E92" s="15"/>
      <c r="F92" s="18">
        <f>NORMSDIST(F91)-NORMSDIST(F90)</f>
        <v>0.04819686987304461</v>
      </c>
      <c r="G92" s="18"/>
    </row>
    <row r="93" spans="2:7" x14ac:dyDescent="0.25">
      <c r="B93" s="19" t="s">
        <v>48</v>
      </c>
      <c r="C93" s="19"/>
      <c r="D93" s="19"/>
      <c r="E93" s="15"/>
      <c r="F93" s="20">
        <f>F92</f>
        <v>0.04819686987304461</v>
      </c>
      <c r="G93" s="20"/>
    </row>
    <row r="94" ht="34" customHeight="1" spans="2:7" x14ac:dyDescent="0.25">
      <c r="B94" s="22" t="s">
        <v>78</v>
      </c>
      <c r="C94" s="22"/>
      <c r="D94" s="22"/>
      <c r="E94" s="22"/>
      <c r="F94" s="22"/>
      <c r="G94" s="22"/>
    </row>
    <row r="96" spans="2:13" x14ac:dyDescent="0.25">
      <c r="B96" s="9" t="s">
        <v>79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ht="24" customHeight="1" spans="2:13" x14ac:dyDescent="0.25">
      <c r="B97" s="7" t="s">
        <v>80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ht="24" customHeight="1" spans="2:13" x14ac:dyDescent="0.25">
      <c r="B98" s="7" t="s">
        <v>81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ht="24" customHeight="1" spans="2:13" x14ac:dyDescent="0.25">
      <c r="B99" s="7" t="s">
        <v>82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</sheetData>
  <mergeCells count="256">
    <mergeCell ref="B2:M2"/>
    <mergeCell ref="B3:M3"/>
    <mergeCell ref="B5:M5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B9:E9"/>
    <mergeCell ref="F9:I9"/>
    <mergeCell ref="J9:M9"/>
    <mergeCell ref="B10:E10"/>
    <mergeCell ref="F10:I10"/>
    <mergeCell ref="J10:M10"/>
    <mergeCell ref="B11:E11"/>
    <mergeCell ref="F11:I11"/>
    <mergeCell ref="J11:M11"/>
    <mergeCell ref="B12:E12"/>
    <mergeCell ref="F12:I12"/>
    <mergeCell ref="J12:M12"/>
    <mergeCell ref="B13:E13"/>
    <mergeCell ref="F13:I13"/>
    <mergeCell ref="J13:M13"/>
    <mergeCell ref="B14:E14"/>
    <mergeCell ref="F14:I14"/>
    <mergeCell ref="J14:M14"/>
    <mergeCell ref="B15:E15"/>
    <mergeCell ref="F15:I15"/>
    <mergeCell ref="J15:M15"/>
    <mergeCell ref="B18:G18"/>
    <mergeCell ref="H18:M18"/>
    <mergeCell ref="B19:G19"/>
    <mergeCell ref="H19:M19"/>
    <mergeCell ref="B20:D20"/>
    <mergeCell ref="F20:G20"/>
    <mergeCell ref="H20:J20"/>
    <mergeCell ref="L20:M20"/>
    <mergeCell ref="B21:D21"/>
    <mergeCell ref="F21:G21"/>
    <mergeCell ref="H21:J21"/>
    <mergeCell ref="L21:M21"/>
    <mergeCell ref="B22:D22"/>
    <mergeCell ref="F22:G22"/>
    <mergeCell ref="H22:J22"/>
    <mergeCell ref="L22:M22"/>
    <mergeCell ref="B23:D23"/>
    <mergeCell ref="F23:G23"/>
    <mergeCell ref="H23:J23"/>
    <mergeCell ref="L23:M23"/>
    <mergeCell ref="B24:D24"/>
    <mergeCell ref="F24:G24"/>
    <mergeCell ref="H24:J24"/>
    <mergeCell ref="L24:M24"/>
    <mergeCell ref="B25:D25"/>
    <mergeCell ref="F25:G25"/>
    <mergeCell ref="H25:J25"/>
    <mergeCell ref="L25:M25"/>
    <mergeCell ref="B26:D26"/>
    <mergeCell ref="F26:G26"/>
    <mergeCell ref="H26:J26"/>
    <mergeCell ref="L26:M26"/>
    <mergeCell ref="B27:D27"/>
    <mergeCell ref="F27:G27"/>
    <mergeCell ref="H27:J27"/>
    <mergeCell ref="L27:M27"/>
    <mergeCell ref="B28:D28"/>
    <mergeCell ref="F28:G28"/>
    <mergeCell ref="H28:J28"/>
    <mergeCell ref="L28:M28"/>
    <mergeCell ref="B29:D29"/>
    <mergeCell ref="F29:G29"/>
    <mergeCell ref="H29:J29"/>
    <mergeCell ref="L29:M29"/>
    <mergeCell ref="B30:G30"/>
    <mergeCell ref="H30:M30"/>
    <mergeCell ref="B33:G33"/>
    <mergeCell ref="H33:M33"/>
    <mergeCell ref="B34:G34"/>
    <mergeCell ref="H34:M34"/>
    <mergeCell ref="B35:D35"/>
    <mergeCell ref="F35:G35"/>
    <mergeCell ref="H35:J35"/>
    <mergeCell ref="L35:M35"/>
    <mergeCell ref="B36:D36"/>
    <mergeCell ref="F36:G36"/>
    <mergeCell ref="H36:J36"/>
    <mergeCell ref="L36:M36"/>
    <mergeCell ref="B37:D37"/>
    <mergeCell ref="F37:G37"/>
    <mergeCell ref="H37:J37"/>
    <mergeCell ref="L37:M37"/>
    <mergeCell ref="B38:D38"/>
    <mergeCell ref="F38:G38"/>
    <mergeCell ref="H38:J38"/>
    <mergeCell ref="L38:M38"/>
    <mergeCell ref="B39:D39"/>
    <mergeCell ref="F39:G39"/>
    <mergeCell ref="H39:J39"/>
    <mergeCell ref="L39:M39"/>
    <mergeCell ref="B40:D40"/>
    <mergeCell ref="F40:G40"/>
    <mergeCell ref="H40:J40"/>
    <mergeCell ref="L40:M40"/>
    <mergeCell ref="B41:D41"/>
    <mergeCell ref="F41:G41"/>
    <mergeCell ref="H41:J41"/>
    <mergeCell ref="L41:M41"/>
    <mergeCell ref="B42:D42"/>
    <mergeCell ref="F42:G42"/>
    <mergeCell ref="H42:J42"/>
    <mergeCell ref="L42:M42"/>
    <mergeCell ref="B43:D43"/>
    <mergeCell ref="F43:G43"/>
    <mergeCell ref="H43:J43"/>
    <mergeCell ref="L43:M43"/>
    <mergeCell ref="B44:D44"/>
    <mergeCell ref="F44:G44"/>
    <mergeCell ref="H44:J44"/>
    <mergeCell ref="L44:M44"/>
    <mergeCell ref="B45:G45"/>
    <mergeCell ref="H45:M45"/>
    <mergeCell ref="B48:G48"/>
    <mergeCell ref="H48:M48"/>
    <mergeCell ref="B49:G49"/>
    <mergeCell ref="H49:M49"/>
    <mergeCell ref="B50:D50"/>
    <mergeCell ref="F50:G50"/>
    <mergeCell ref="H50:J50"/>
    <mergeCell ref="L50:M50"/>
    <mergeCell ref="B51:D51"/>
    <mergeCell ref="F51:G51"/>
    <mergeCell ref="H51:J51"/>
    <mergeCell ref="L51:M51"/>
    <mergeCell ref="B52:D52"/>
    <mergeCell ref="F52:G52"/>
    <mergeCell ref="H52:J52"/>
    <mergeCell ref="L52:M52"/>
    <mergeCell ref="B53:D53"/>
    <mergeCell ref="F53:G53"/>
    <mergeCell ref="H53:J53"/>
    <mergeCell ref="L53:M53"/>
    <mergeCell ref="B54:D54"/>
    <mergeCell ref="F54:G54"/>
    <mergeCell ref="H54:J54"/>
    <mergeCell ref="L54:M54"/>
    <mergeCell ref="B55:D55"/>
    <mergeCell ref="F55:G55"/>
    <mergeCell ref="H55:J55"/>
    <mergeCell ref="L55:M55"/>
    <mergeCell ref="B56:D56"/>
    <mergeCell ref="F56:G56"/>
    <mergeCell ref="H56:J56"/>
    <mergeCell ref="L56:M56"/>
    <mergeCell ref="B57:D57"/>
    <mergeCell ref="F57:G57"/>
    <mergeCell ref="H57:J57"/>
    <mergeCell ref="L57:M57"/>
    <mergeCell ref="B58:D58"/>
    <mergeCell ref="F58:G58"/>
    <mergeCell ref="H58:J58"/>
    <mergeCell ref="L58:M58"/>
    <mergeCell ref="B59:D59"/>
    <mergeCell ref="F59:G59"/>
    <mergeCell ref="H59:J59"/>
    <mergeCell ref="L59:M59"/>
    <mergeCell ref="B60:G60"/>
    <mergeCell ref="H60:M60"/>
    <mergeCell ref="B63:G63"/>
    <mergeCell ref="H63:M63"/>
    <mergeCell ref="B64:G64"/>
    <mergeCell ref="H64:M64"/>
    <mergeCell ref="B65:D65"/>
    <mergeCell ref="F65:G65"/>
    <mergeCell ref="H65:J65"/>
    <mergeCell ref="L65:M65"/>
    <mergeCell ref="B66:D66"/>
    <mergeCell ref="F66:G66"/>
    <mergeCell ref="H66:J66"/>
    <mergeCell ref="L66:M66"/>
    <mergeCell ref="B67:D67"/>
    <mergeCell ref="F67:G67"/>
    <mergeCell ref="H67:J67"/>
    <mergeCell ref="L67:M67"/>
    <mergeCell ref="B68:D68"/>
    <mergeCell ref="F68:G68"/>
    <mergeCell ref="H68:J68"/>
    <mergeCell ref="L68:M68"/>
    <mergeCell ref="B69:D69"/>
    <mergeCell ref="F69:G69"/>
    <mergeCell ref="H69:J69"/>
    <mergeCell ref="L69:M69"/>
    <mergeCell ref="B70:D70"/>
    <mergeCell ref="F70:G70"/>
    <mergeCell ref="H70:J70"/>
    <mergeCell ref="L70:M70"/>
    <mergeCell ref="B71:D71"/>
    <mergeCell ref="F71:G71"/>
    <mergeCell ref="H71:J71"/>
    <mergeCell ref="L71:M71"/>
    <mergeCell ref="B72:D72"/>
    <mergeCell ref="F72:G72"/>
    <mergeCell ref="H72:J72"/>
    <mergeCell ref="L72:M72"/>
    <mergeCell ref="B73:D73"/>
    <mergeCell ref="F73:G73"/>
    <mergeCell ref="H73:J73"/>
    <mergeCell ref="L73:M73"/>
    <mergeCell ref="B74:D74"/>
    <mergeCell ref="F74:G74"/>
    <mergeCell ref="H74:J74"/>
    <mergeCell ref="L74:M74"/>
    <mergeCell ref="B75:D75"/>
    <mergeCell ref="F75:G75"/>
    <mergeCell ref="H75:J75"/>
    <mergeCell ref="L75:M75"/>
    <mergeCell ref="B76:D76"/>
    <mergeCell ref="F76:G76"/>
    <mergeCell ref="H76:J76"/>
    <mergeCell ref="L76:M76"/>
    <mergeCell ref="B77:G77"/>
    <mergeCell ref="H77:M77"/>
    <mergeCell ref="B80:G80"/>
    <mergeCell ref="B81:G81"/>
    <mergeCell ref="B82:D82"/>
    <mergeCell ref="F82:G82"/>
    <mergeCell ref="B83:D83"/>
    <mergeCell ref="F83:G83"/>
    <mergeCell ref="B84:D84"/>
    <mergeCell ref="F84:G84"/>
    <mergeCell ref="B85:D85"/>
    <mergeCell ref="F85:G85"/>
    <mergeCell ref="B86:D86"/>
    <mergeCell ref="F86:G86"/>
    <mergeCell ref="B87:D87"/>
    <mergeCell ref="F87:G87"/>
    <mergeCell ref="B88:D88"/>
    <mergeCell ref="F88:G88"/>
    <mergeCell ref="B89:D89"/>
    <mergeCell ref="F89:G89"/>
    <mergeCell ref="B90:D90"/>
    <mergeCell ref="F90:G90"/>
    <mergeCell ref="B91:D91"/>
    <mergeCell ref="F91:G91"/>
    <mergeCell ref="B92:D92"/>
    <mergeCell ref="F92:G92"/>
    <mergeCell ref="B93:D93"/>
    <mergeCell ref="F93:G93"/>
    <mergeCell ref="B94:G94"/>
    <mergeCell ref="B96:M96"/>
    <mergeCell ref="B97:M97"/>
    <mergeCell ref="B98:M98"/>
    <mergeCell ref="B99:M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Desarrollo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title/>
  <dc:subject/>
  <dc:description/>
  <cp:keywords/>
  <cp:category/>
  <cp:lastModifiedBy>Unknown</cp:lastModifiedBy>
  <dcterms:created xsi:type="dcterms:W3CDTF">2026-04-20T23:22:49Z</dcterms:created>
  <dcterms:modified xsi:type="dcterms:W3CDTF">2026-04-20T23:22:49Z</dcterms:modified>
</cp:coreProperties>
</file>