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1570" windowHeight="7980"/>
  </bookViews>
  <sheets>
    <sheet sheetId="7" name="Actividad" state="visible" r:id="rId4"/>
    <sheet sheetId="1" name="MATRIZ" state="visible" r:id="rId5"/>
    <sheet sheetId="2" name="MAS" state="visible" r:id="rId6"/>
    <sheet sheetId="8" name="MS" state="visible" r:id="rId7"/>
  </sheets>
  <definedNames>
    <definedName name="_xlnm._FilterDatabase">MATRIZ!$A$1:$C$1197</definedName>
  </definedNames>
  <calcPr calcId="171027" fullCalcOnLoad="1"/>
</workbook>
</file>

<file path=xl/sharedStrings.xml><?xml version="1.0" encoding="utf-8"?>
<sst xmlns="http://schemas.openxmlformats.org/spreadsheetml/2006/main" count="3696" uniqueCount="1252">
  <si>
    <t>Actividad: Selección de una muestra</t>
  </si>
  <si>
    <t>1. Calcula el tamaño de muestra para la estimación del impuesto promedio de las MYPES mostradas en la MATRIZ de datos</t>
  </si>
  <si>
    <t xml:space="preserve">Considere un nivel de confianza del 92%, una varianza poblacional de 122500 y un margen de error de 100 soles </t>
  </si>
  <si>
    <t>2. Calcula el tamaño de muestra para la estimación de la proporción de empresas que se encuentran de acuerdo con un nuevo rubro de impuesto</t>
  </si>
  <si>
    <t xml:space="preserve">Considere un nivel de confianza del 90%, P = 0.85 y un margen de error de 0.08 </t>
  </si>
  <si>
    <r>
      <t xml:space="preserve">3. Extraer una muestra aleatoria </t>
    </r>
    <r>
      <rPr>
        <b/>
        <color theme="1"/>
        <family val="2"/>
        <scheme val="minor"/>
        <sz val="11"/>
        <rFont val="Calibri"/>
      </rPr>
      <t>simple</t>
    </r>
    <r>
      <rPr>
        <color theme="1"/>
        <family val="2"/>
        <scheme val="minor"/>
        <sz val="11"/>
        <rFont val="Calibri"/>
      </rPr>
      <t xml:space="preserve"> de MYPES, para la estimación del impuesto promedio y la proporción de empresas que esán de acuerdo con el impuesto nuevo, teniendo en cuenta los tamaños de muestra encontrados en la pregunta 1. y en la pregunta 2.</t>
    </r>
  </si>
  <si>
    <r>
      <t xml:space="preserve">4. Extraer una muestra aleatoria </t>
    </r>
    <r>
      <rPr>
        <b/>
        <color theme="1"/>
        <family val="2"/>
        <scheme val="minor"/>
        <sz val="11"/>
        <rFont val="Calibri"/>
      </rPr>
      <t>sistemática</t>
    </r>
    <r>
      <rPr>
        <color theme="1"/>
        <family val="2"/>
        <scheme val="minor"/>
        <sz val="11"/>
        <rFont val="Calibri"/>
      </rPr>
      <t xml:space="preserve"> de MYPES, para la estimación del impuesto promedio y la proporción de empresas que esán de acuerdo con el impuesto nuevo, teniendo en cuenta los tamaños de muestra encontrados en la pregunta 1. y en la pregunta 2.</t>
    </r>
  </si>
  <si>
    <t>Pregunta 1</t>
  </si>
  <si>
    <t>Pregunta 2</t>
  </si>
  <si>
    <t>Tamaño de la muestra</t>
  </si>
  <si>
    <r>
      <rPr>
        <sz val="11"/>
        <rFont val="Calibri"/>
      </rPr>
      <t xml:space="preserve">Variable: </t>
    </r>
    <r>
      <rPr>
        <color rgb="FFFF0000"/>
        <sz val="11"/>
        <rFont val="Calibri"/>
      </rPr>
      <t>Impuesto</t>
    </r>
  </si>
  <si>
    <r>
      <rPr>
        <sz val="11"/>
        <rFont val="Calibri"/>
      </rPr>
      <t xml:space="preserve">Variable: </t>
    </r>
    <r>
      <rPr>
        <color rgb="FFFF0000"/>
        <sz val="11"/>
        <rFont val="Calibri"/>
      </rPr>
      <t>Empresas que están de acuerdo con el nuevo impuesto</t>
    </r>
  </si>
  <si>
    <t>Tamaño de la población</t>
  </si>
  <si>
    <t>N =</t>
  </si>
  <si>
    <t>Nivel de confianza:</t>
  </si>
  <si>
    <t>1 - α =</t>
  </si>
  <si>
    <t>Z =</t>
  </si>
  <si>
    <t>=INV.NORM.ESTAND(0.96)</t>
  </si>
  <si>
    <t>α =</t>
  </si>
  <si>
    <t>nivel de error</t>
  </si>
  <si>
    <t>Margen de error:</t>
  </si>
  <si>
    <t>e =</t>
  </si>
  <si>
    <t>Margen de Error:</t>
  </si>
  <si>
    <t>Proporción esperada</t>
  </si>
  <si>
    <t>P =</t>
  </si>
  <si>
    <t>Desviación estánd. Pob.</t>
  </si>
  <si>
    <t>σ =</t>
  </si>
  <si>
    <t>Complemento</t>
  </si>
  <si>
    <t>q =</t>
  </si>
  <si>
    <t>Tamaño de la muestra:</t>
  </si>
  <si>
    <t>n =</t>
  </si>
  <si>
    <t>n = (N·Z²·σ²) / ((N - 1)·e² + Z²·σ²)</t>
  </si>
  <si>
    <t>n = (N·Z²·p·q) / ((N - 1)·e² + Z²·p·q)</t>
  </si>
  <si>
    <t>Para las preguntas 3 y 4 se utiliza el mayor tamaño de muestra calculado.</t>
  </si>
  <si>
    <t>Id</t>
  </si>
  <si>
    <t>RAZÓN SOCIAL</t>
  </si>
  <si>
    <t>SECTOR</t>
  </si>
  <si>
    <t>CONISLLA QUISPE EPIFANIO</t>
  </si>
  <si>
    <t>MENDOZA MONTAÑEZ TEOBALDO CARLOS</t>
  </si>
  <si>
    <t>CHAPOÑAN RODRIGUEZ JOSE LUIS</t>
  </si>
  <si>
    <t>VILLA CRISOSTOMO IRMA VICTORIA</t>
  </si>
  <si>
    <t>Sector</t>
  </si>
  <si>
    <t>Código</t>
  </si>
  <si>
    <t>CAMPOS SALINAS DE LAM JESSICA JANET</t>
  </si>
  <si>
    <t>Comercio</t>
  </si>
  <si>
    <t>LT BABY STORE EIRL</t>
  </si>
  <si>
    <t>Producción/Extracción</t>
  </si>
  <si>
    <t>ATAUPILLCO OROS BRISSI MASSHIEL</t>
  </si>
  <si>
    <t>Actividades Inmoviliarias</t>
  </si>
  <si>
    <t>PAJUELO LIJARZA DONATO</t>
  </si>
  <si>
    <t>Hoteles y restaurantes</t>
  </si>
  <si>
    <t>ROCCO FILTRO EIRL</t>
  </si>
  <si>
    <t>Transporte, almacenamiento y comunicación</t>
  </si>
  <si>
    <t>CHOQUE QUISPE YANETH</t>
  </si>
  <si>
    <t>Otras actividades de servicios</t>
  </si>
  <si>
    <t>GIANKARS MOTORS EIRL</t>
  </si>
  <si>
    <t>ICHUTA PALLE SAMUEL</t>
  </si>
  <si>
    <t>DUBONP SA</t>
  </si>
  <si>
    <t>MAYTA TITO MELITON</t>
  </si>
  <si>
    <t>COMERCIAL GRAFICA JARA SRL</t>
  </si>
  <si>
    <t>TENORIO MORENO NORA</t>
  </si>
  <si>
    <t>ORTHOMEDIC EIRL</t>
  </si>
  <si>
    <t>MAMANI VARGAS HUMBERTO</t>
  </si>
  <si>
    <t>RANILLA FERNANDEZ ELIN LORENZO</t>
  </si>
  <si>
    <t>HD IMPORTACIONES AREQUIPA EIRL</t>
  </si>
  <si>
    <t>CUYOTUPAC VELIZ DEISSY HORTENSIA</t>
  </si>
  <si>
    <t>INVERSIONES YAROSUBE MATEO EIRL</t>
  </si>
  <si>
    <t>ALINORTE SAC</t>
  </si>
  <si>
    <t>EMPRESA GUO SAC</t>
  </si>
  <si>
    <t>OMMIANAVAL EIRL</t>
  </si>
  <si>
    <t>ASOCIADOS GADIEL SRL</t>
  </si>
  <si>
    <t>PRO &amp; FAMM EIRL</t>
  </si>
  <si>
    <t>EL KIKIRIPOLLO EIRL</t>
  </si>
  <si>
    <t>COPY DATA EIRL</t>
  </si>
  <si>
    <t>CHUQUI DAGA DE CHAVEZ AMELIA ALICIA</t>
  </si>
  <si>
    <t>RESTAURANT GOURMET EL PACIFICO SRL</t>
  </si>
  <si>
    <t>GRUPO FERRETERO INNOVA SRL</t>
  </si>
  <si>
    <t>SITEC SISTEMAS SRL</t>
  </si>
  <si>
    <t>INVERSIONES MULTIPLES JHONY SAC</t>
  </si>
  <si>
    <t>YZQUIERDO VILCHEZ SONIA MARIA</t>
  </si>
  <si>
    <t>AGROINDUSTRIAS EXPORT ORO VERDE SAC</t>
  </si>
  <si>
    <t>MECHANICAL WORLD PIURA SAC</t>
  </si>
  <si>
    <t>MILANO CONSTRUCTORES EIRL</t>
  </si>
  <si>
    <t>MUNDO ALPACA SAC</t>
  </si>
  <si>
    <t>M &amp; A INSTALACIONES  PROFESIONALES SAC</t>
  </si>
  <si>
    <t>VALDIVIANO MENDOZA FLORMILA ADELA</t>
  </si>
  <si>
    <t>THARINATECH SA</t>
  </si>
  <si>
    <t>ESPINOZA FIAFILIO QUILLAY EDITH NANCY</t>
  </si>
  <si>
    <t>FLORES LAZARO LIZ GISELA</t>
  </si>
  <si>
    <t>LUQUE LUQUE LUCRECIA FELIPA</t>
  </si>
  <si>
    <t>DEGREGORI CUADROS CARMEN ROSA</t>
  </si>
  <si>
    <t>CORPORACION ALBANTEX SAC</t>
  </si>
  <si>
    <t>DRY CLEANERS LAS AVESTRUCES SAC</t>
  </si>
  <si>
    <t>BAUTISTA CACHAY AMADEO</t>
  </si>
  <si>
    <t>INVERSIONES MEDICAS  J Y CH SAC</t>
  </si>
  <si>
    <t>IOMEN GROUP SAC</t>
  </si>
  <si>
    <t>IMPERIO CHAVIN SAC</t>
  </si>
  <si>
    <t>MEGA SECURITY SOLUTIONS SAC</t>
  </si>
  <si>
    <t>STORE GAMES SOCIEDAD ANONIMA CERRADA</t>
  </si>
  <si>
    <t>LAURA PILCO ELVIS DANIEL</t>
  </si>
  <si>
    <t>JOYERIA Y TALLER CORREA SAC</t>
  </si>
  <si>
    <t>FRANCO PEBE ANDRES JUSTINIANO</t>
  </si>
  <si>
    <t>COMERCIAL MOLIFER EIRL</t>
  </si>
  <si>
    <t>GUTIERREZ VACA DORIS</t>
  </si>
  <si>
    <t>CHACON SARMIENTO EDWIN SANTOS</t>
  </si>
  <si>
    <t>JIMENEZ RAMIREZ VANESA BEATRIZ</t>
  </si>
  <si>
    <t>NINA DE QUISPE MAXIMILIANA</t>
  </si>
  <si>
    <t>CONDORI CHURA PASTORA</t>
  </si>
  <si>
    <t>PROVEEDORES Y SERVICIOS MINEROS PREMIUM  EIRL</t>
  </si>
  <si>
    <t>MAKROMAQSERVIS S R L</t>
  </si>
  <si>
    <t>ALCANTARA SILVA JORDY WILLIAM</t>
  </si>
  <si>
    <t>PINILLOS ENCISO OLGA</t>
  </si>
  <si>
    <t>TEXTILE CLOTHING SOLUTION SAC</t>
  </si>
  <si>
    <t>MEIND &amp; GYM SAC</t>
  </si>
  <si>
    <t>VILCA LUNA CHARMILY UBALDINA</t>
  </si>
  <si>
    <t>COAQUIRA PACORI RUFINO</t>
  </si>
  <si>
    <t>2001 CAR SERVICE EIRL</t>
  </si>
  <si>
    <t>HUANCA CONDORI LUCIO</t>
  </si>
  <si>
    <t>SERVICIOS MULTIPLES  CORSA EIRL</t>
  </si>
  <si>
    <t>PAREDES VARGAS CRISOSTOMO</t>
  </si>
  <si>
    <t>SODI &amp; C F IMPORT -  EXPORT EIRL</t>
  </si>
  <si>
    <t>MARRUFO EL CONSTRUCTOR EIRL</t>
  </si>
  <si>
    <t>ARMINTA QUISPE RIVELINO</t>
  </si>
  <si>
    <t>YUCRA CCOPA MODESTA EDILBERTA</t>
  </si>
  <si>
    <t>TURISMO IDEAL EIRL</t>
  </si>
  <si>
    <t>CHAVEZ PICCHUTITO FIORELA</t>
  </si>
  <si>
    <t>OCHOCHOQUE MAMANI GIL JOSUE</t>
  </si>
  <si>
    <t>J M AUTOPARTES SRL</t>
  </si>
  <si>
    <t>TEJEDA ARRASCUE NORBERTO MOISES</t>
  </si>
  <si>
    <t>AMERICA LIFE EIRL</t>
  </si>
  <si>
    <t>BUENDIA POMA RODRIGO NICOLAS</t>
  </si>
  <si>
    <t>VIRGEN DE FATIMA LOGISTICA EIRL</t>
  </si>
  <si>
    <t>AISLAMIENTO INKA SAC</t>
  </si>
  <si>
    <t>CETAMAR VENTAS Y SERVICIOS GENERALES SRL</t>
  </si>
  <si>
    <t>INVERSIONES THE POINT EIRL</t>
  </si>
  <si>
    <t>FRIGOCENTRO SCRL</t>
  </si>
  <si>
    <t>MODAS HIRO GHAS EIRL</t>
  </si>
  <si>
    <t>INVERSIONES GOTCHA SAC</t>
  </si>
  <si>
    <t>DEYMA MOTOR'S SAC</t>
  </si>
  <si>
    <t>GUEVARA TORRES JESUS ELVIRA</t>
  </si>
  <si>
    <t>B&amp;S INDUSTRIAS SAC</t>
  </si>
  <si>
    <t>SHULITA EIRL</t>
  </si>
  <si>
    <t>ROBLEDO MONTERO CARLOS ENRIQUE</t>
  </si>
  <si>
    <t>T &amp; C EL ROCIO EIRL</t>
  </si>
  <si>
    <t>HUAMAN CHUCHON DENITH JAKELINN</t>
  </si>
  <si>
    <t>ANYAIPOMA SANCHEZ FORTUNATO</t>
  </si>
  <si>
    <t>SNIVE &amp; ASOCIADOS SAC</t>
  </si>
  <si>
    <t>CORPORACION PINO SAC</t>
  </si>
  <si>
    <t>PUMARRUMI SANTOS ADOLFO</t>
  </si>
  <si>
    <t>TTITO APAZA DE HUAMAN HILDA</t>
  </si>
  <si>
    <t>POWER FLORES JOVANA</t>
  </si>
  <si>
    <t>JACHO QUISPE ZENOVIO</t>
  </si>
  <si>
    <t>SANCHEZ CONGONA HILDA JANET</t>
  </si>
  <si>
    <t>QUINTANA PINEDO MARIA MANUELA</t>
  </si>
  <si>
    <t>LIZANA BRUNO NANCY JANET</t>
  </si>
  <si>
    <t>HIDROSUR P&amp;Q SCRL</t>
  </si>
  <si>
    <t>LUCANO REPRESENTACIONES SRL</t>
  </si>
  <si>
    <t>RAFAEL VASQUEZ MARIA LILIAN</t>
  </si>
  <si>
    <t>ROJAS AMARO MARIO LUIS</t>
  </si>
  <si>
    <t>ORIHUELA HUARINGA SAMUEL GABINO</t>
  </si>
  <si>
    <t>ALBURQUEQUE CANGO AURELIO</t>
  </si>
  <si>
    <t>BEDRIÑANA PAUCAR ELADIO</t>
  </si>
  <si>
    <t>INDUSTRIA LEON DE JUDA EIRL</t>
  </si>
  <si>
    <t>RENGIFO DAVILA BERTHA FLOR</t>
  </si>
  <si>
    <t>MAQUERA FLORES MANUEL FERMIN</t>
  </si>
  <si>
    <t>CRUZ TITALO MAURO</t>
  </si>
  <si>
    <t>INVERSIONES Y SERVICIOS EL AMAZONICO SRL</t>
  </si>
  <si>
    <t>CHIRINOS PORTUGAL BRYAN STUARD</t>
  </si>
  <si>
    <t>CREACIONES SELENY EIRL</t>
  </si>
  <si>
    <t>MAMANI MENDOZA LUIS ENRIQUE</t>
  </si>
  <si>
    <t>ESPINOZA SALAZAR MARILU</t>
  </si>
  <si>
    <t>CCORIMANYA HUAMAN WASHINGTON</t>
  </si>
  <si>
    <t>MULTISERVIS SAMIRA EIRL</t>
  </si>
  <si>
    <t>CONSORCIO AARON SAC</t>
  </si>
  <si>
    <t>GASPAR RODRIGUEZ GILMER</t>
  </si>
  <si>
    <t>COMERCIAL FERRETERIA SIRIUS EIRL</t>
  </si>
  <si>
    <t>MULTINEGOCIOS INFORMATICOS SAC</t>
  </si>
  <si>
    <t>REWARDS PERU SAC</t>
  </si>
  <si>
    <t>PAULINO AGUIRRE DE ARCE MARIA CELINA</t>
  </si>
  <si>
    <t>SECURITY DRIVING SRL</t>
  </si>
  <si>
    <t>RIEGA CARNERO JUAN ANIBAL</t>
  </si>
  <si>
    <t>EL RAYO DEL SOL EIRL</t>
  </si>
  <si>
    <t>CHUQUILLANQUI CHIPANA YAYO ARMANDO</t>
  </si>
  <si>
    <t>CSI RECTIFICACIONES  Y SERVICIOS EIRL</t>
  </si>
  <si>
    <t>VASQUEZ PORTA MOISES ZENON</t>
  </si>
  <si>
    <t>E &amp; L ILUMINACION EMPRESA INDIVIDUAL DE  RESPONSABILIDAD LIM</t>
  </si>
  <si>
    <t>INVERSIONES PYB EIRL</t>
  </si>
  <si>
    <t>QUISPE BARRIOS MIRIAM LAURA</t>
  </si>
  <si>
    <t>HUAYCOCHEA DIAZ EDGAR ORLANDO</t>
  </si>
  <si>
    <t>OROSCO LAINES ANGELICA</t>
  </si>
  <si>
    <t>BOTICAS BIOS TECHPHARMA SAC</t>
  </si>
  <si>
    <t>LACTEOS LA YAYA EIRL</t>
  </si>
  <si>
    <t>INDUSTRIAL COMERCIAL MADERERA VASQUEZ IN COMAVA SRL</t>
  </si>
  <si>
    <t>FRIO SEL EIRL</t>
  </si>
  <si>
    <t>PEREZ ESCOBAR RAQUEL</t>
  </si>
  <si>
    <t>MEZA ZAVALA OSCAR RICARDO</t>
  </si>
  <si>
    <t>GARCIA ALARCON ISABEL</t>
  </si>
  <si>
    <t>INVERSIONES DICOMEXA EIRL</t>
  </si>
  <si>
    <t>SOCIEDAD COMERCIALIZADORA DE MAQUINAS TE XTILES - TEXCOM SAC</t>
  </si>
  <si>
    <t>APAZA APAZA REINALDO</t>
  </si>
  <si>
    <t>SOMOZA RIQUELME CARMEN MERCEDES</t>
  </si>
  <si>
    <t>CUBAS DIAZ ALCIRA</t>
  </si>
  <si>
    <t>MACHACA AMBROCIO LUCY BEATRIZ</t>
  </si>
  <si>
    <t>ARTSAM SAC</t>
  </si>
  <si>
    <t>SERVICE GENERAL CUEVA EIRL</t>
  </si>
  <si>
    <t>PINTO APAZA MARIA NORCA</t>
  </si>
  <si>
    <t>TAPIA MAMANI BENANCIA LAURA</t>
  </si>
  <si>
    <t>BOLAÑOS MONTALVO EUGENIO</t>
  </si>
  <si>
    <t>ZORRILLA ARROYO ELIZABETH LUZ</t>
  </si>
  <si>
    <t>WORLD CUISINE SRL</t>
  </si>
  <si>
    <t>INTIKOFFEE CAFETERIA EIRL</t>
  </si>
  <si>
    <t>HOSTAL VARENNA EIRL</t>
  </si>
  <si>
    <t>MAMANI LAURENTE JUAN JOSE</t>
  </si>
  <si>
    <t>CABALLON FERNANDEZ HUMBERTO JAIME</t>
  </si>
  <si>
    <t>SOLUCIONES ESTRATEGICAS &amp; CONSULTORES SA C</t>
  </si>
  <si>
    <t>PLAZA MEDICA SAC</t>
  </si>
  <si>
    <t>PACCORI COANQUI MARIANO</t>
  </si>
  <si>
    <t>CARDENAS CACHI EDGAR</t>
  </si>
  <si>
    <t>RECREO CORPORATION SOCIEDAD ANONIMA CERR ADA</t>
  </si>
  <si>
    <t>CARNOTHERM SAC</t>
  </si>
  <si>
    <t>MULTICOMERCIOS &amp; SERVICIOS LANDER EIRL</t>
  </si>
  <si>
    <t>DESING NEW COLLECTION SRL</t>
  </si>
  <si>
    <t>DAVILA SINACAY ROSITA ANGELICA</t>
  </si>
  <si>
    <t>NAVARRO MAZA JUAN FRANCISCO</t>
  </si>
  <si>
    <t>RAFAEL CASTRO ALEX MIGUEL</t>
  </si>
  <si>
    <t>PIZZA ROCK EJERCITO  SAC</t>
  </si>
  <si>
    <t>GRUPO JSL SAC</t>
  </si>
  <si>
    <t>WORKSHOP EMPRESA INDIVIDUAL DE REPONSABI LIDAD LIMITADA</t>
  </si>
  <si>
    <t>ATIZ ALPAS GERMAN</t>
  </si>
  <si>
    <t>INVERSIONES AMANCIO  SAC</t>
  </si>
  <si>
    <t>E P C INVERSIONES EIRL</t>
  </si>
  <si>
    <t>CANDIA VELA MARIA</t>
  </si>
  <si>
    <t>PACHECO REYES AMANDA MARILUZ</t>
  </si>
  <si>
    <t>JACINTO PERICHE OSCAR</t>
  </si>
  <si>
    <t>ESPINOZA VALENTIN ZOSIMO</t>
  </si>
  <si>
    <t>ARAGON ARANYA CAROLINA</t>
  </si>
  <si>
    <t>CAYETANO ROJAS HAYDEE HERLINDA</t>
  </si>
  <si>
    <t>HUAMAN MACURI SEVERO FELIX</t>
  </si>
  <si>
    <t>GONZALES MIRANDA ABEL</t>
  </si>
  <si>
    <t>CONFECCIONES WILSS EIRL</t>
  </si>
  <si>
    <t>PUNTO TEXTIL GLORIA  SAC</t>
  </si>
  <si>
    <t>PALOMINO TELLO JULIA NACIOCENA</t>
  </si>
  <si>
    <t>BATERIAS CARBAJAL EIRL</t>
  </si>
  <si>
    <t>HUAMAN VIVANCO PEDRO LUIS</t>
  </si>
  <si>
    <t>PORTADA AL MAR SAC</t>
  </si>
  <si>
    <t>ALMEN ESTABLECIMIENTOS EIRL</t>
  </si>
  <si>
    <t>VITA CARE SAC</t>
  </si>
  <si>
    <t>VALDERRAMA LUNA TALIA JOHANA</t>
  </si>
  <si>
    <t>GRAPHIC CHIMBOTE SAC</t>
  </si>
  <si>
    <t>MACONSER PERU SAC</t>
  </si>
  <si>
    <t>GPE SERVICIOS SAC</t>
  </si>
  <si>
    <t>ENRIQUEZ TRUJILLO ELIZABETH PILAR</t>
  </si>
  <si>
    <t>TOMAS LLANOS ADELINA SILVIA</t>
  </si>
  <si>
    <t>HUAMAN QUISPE JESUS ANTONIO</t>
  </si>
  <si>
    <t>INVERSIONES &amp; REPRESENTACIONES VALERIA S AC</t>
  </si>
  <si>
    <t>CAHUID CAHUI JAIME</t>
  </si>
  <si>
    <t>RODAS PEREZ ALEXANDER</t>
  </si>
  <si>
    <t>INDUSCART SAC</t>
  </si>
  <si>
    <t>ANDINA SERVICIOS Y REPRESENTACIONES EIRL</t>
  </si>
  <si>
    <t>PUCUHUAYLA ROJAS LUIS ANTONIO</t>
  </si>
  <si>
    <t>DHL SYSTEM SECURITY  EIRL</t>
  </si>
  <si>
    <t>RAMON ECHEVARRIA DELIA REBECA</t>
  </si>
  <si>
    <t>ARTE CERAMICAS IMPORT EIRL</t>
  </si>
  <si>
    <t>ONLY SEVEN INTERNATIONAL CORPORATION SAC</t>
  </si>
  <si>
    <t>HUAMAN LANAZCA IRMA</t>
  </si>
  <si>
    <t>GAMARRA MORALES HERNAN ERICK</t>
  </si>
  <si>
    <t>INVERSIONES AGROPECUARIAS SANTA ELENA EIRL</t>
  </si>
  <si>
    <t>COMERCIO INTERNACIONAL NACIONAL Y SERVIC IOS SRL</t>
  </si>
  <si>
    <t>ACHO YAPUCHURA MARISOL</t>
  </si>
  <si>
    <t>CORNELIO FAUSTINO GEOVANA FLOR</t>
  </si>
  <si>
    <t>GALINDO PAUCAR BLAS HIPOLITO</t>
  </si>
  <si>
    <t>TRABOT SAC</t>
  </si>
  <si>
    <t>CHUQUILIN LOPEZ LUZ AYDE</t>
  </si>
  <si>
    <t>MULGEINA SAC</t>
  </si>
  <si>
    <t>BATAWA EIRL</t>
  </si>
  <si>
    <t>CRUZ FARCEQUE LUZ MARINA</t>
  </si>
  <si>
    <t>CAVERO ESCOBAR MONICA PAOLA</t>
  </si>
  <si>
    <t>LAZARO DE LA CRUZ ROSA</t>
  </si>
  <si>
    <t>SOLUMAC SRL</t>
  </si>
  <si>
    <t>ESTACION DE SERVICIOS FECASA</t>
  </si>
  <si>
    <t>QUIROZ SRL</t>
  </si>
  <si>
    <t>BOCANEGRA CASTILLO SANTOS SAMUEL</t>
  </si>
  <si>
    <t>FYSWORK SAC</t>
  </si>
  <si>
    <t>CERRON COTERA VITO</t>
  </si>
  <si>
    <t>ELMO BATANERO CONSULTORES DE SEGUROS SAC</t>
  </si>
  <si>
    <t>TAPIA ZARATE MARIA ELENA</t>
  </si>
  <si>
    <t>CAMPO BARRIONUEVO PEPELUCHO</t>
  </si>
  <si>
    <t>CORPORACION INTERNACIONAL JHM SAC</t>
  </si>
  <si>
    <t>LA CASITA DEL BUBY EIRL</t>
  </si>
  <si>
    <t>SUR SERVICIOS LURIN  EIRL</t>
  </si>
  <si>
    <t>SONCCO CRUZ LUCIO BERNARDINO</t>
  </si>
  <si>
    <t>JOMM S CORP EIRL</t>
  </si>
  <si>
    <t>B &amp; W MASTER SERVICE SRL</t>
  </si>
  <si>
    <t>CUTIPA URURI LOURDES</t>
  </si>
  <si>
    <t>EMPRESA PROVEEDORA EL SOL SRL</t>
  </si>
  <si>
    <t>IMPORTACIONES JUVAS  HNOS SAC</t>
  </si>
  <si>
    <t>CESPEDES SANCHEZ JUAN CARLOS</t>
  </si>
  <si>
    <t>FAMILY MARKET EIRL</t>
  </si>
  <si>
    <t>B &amp; C COPY SERVICE SAC</t>
  </si>
  <si>
    <t>CONCEPCION TORRES GUILLERMO CALIXTO</t>
  </si>
  <si>
    <t>RODRYMARI SAC</t>
  </si>
  <si>
    <t>CONSORCIO MADERERO ARBE SAC</t>
  </si>
  <si>
    <t>BECERRA ASENCIOS EWING ALBERTO</t>
  </si>
  <si>
    <t>CONDORI LLUNGO INOCENCIO</t>
  </si>
  <si>
    <t>PERUVIAN CARWASH SAC</t>
  </si>
  <si>
    <t>BARRUETA PACHECO LUIS ALBERTO</t>
  </si>
  <si>
    <t>RLT MILENIUM SAC</t>
  </si>
  <si>
    <t>HUANCA CORONADO FELICIANO</t>
  </si>
  <si>
    <t>PALACIOS RIVERA MICHAEL HANS</t>
  </si>
  <si>
    <t>RODRIGUEZ LAPEYRE VICTOR MANUEL</t>
  </si>
  <si>
    <t>GRAFICA ZURITA SOLUCIONES SAC</t>
  </si>
  <si>
    <t>T &amp; F INTERNATIONAL  TRADING SRL</t>
  </si>
  <si>
    <t>JORGE GUTIERREZ BRANDO ELMER</t>
  </si>
  <si>
    <t>AQUIZE ANCO GUSTAVO EDDY</t>
  </si>
  <si>
    <t>TENORIO AREVALO ARTURO</t>
  </si>
  <si>
    <t>ROMUALDO VALVERDE NICETA CELESTINA</t>
  </si>
  <si>
    <t>BARBOZA PEREZ BENJAMIN EFRAIN</t>
  </si>
  <si>
    <t>CURRO MORAN LUCAS RAFAEL</t>
  </si>
  <si>
    <t>ROJAS PAÑAHUA MIRIAM</t>
  </si>
  <si>
    <t>GUERRERO RUIZ TEODOMIRO</t>
  </si>
  <si>
    <t>CERNA ROMERO SANTOS PEDRO</t>
  </si>
  <si>
    <t>GRUPO SPECTRA SAC</t>
  </si>
  <si>
    <t>MINAYA SANCHEZ MARCELINO</t>
  </si>
  <si>
    <t>SANCHEZ PEREZ GRIMALDA</t>
  </si>
  <si>
    <t>HERRERA PILCO MARCO ANTONIO</t>
  </si>
  <si>
    <t>STYLES INFINITO EIRL</t>
  </si>
  <si>
    <t>QUISPE CAMALA FORTUNATO</t>
  </si>
  <si>
    <t>SERVILEX S R LTDA</t>
  </si>
  <si>
    <t>CARDIOREV EIRL</t>
  </si>
  <si>
    <t>CORTEZ SATURNO REYDA ELMA</t>
  </si>
  <si>
    <t>ALFEREZ PEREDO SIXTO JUAN</t>
  </si>
  <si>
    <t>LAURA VASQUEZ ZEBEDEO OBED</t>
  </si>
  <si>
    <t>PESART SAC</t>
  </si>
  <si>
    <t>YUPANQUI TORRES JUAN CARLOS</t>
  </si>
  <si>
    <t>W &amp; G ELECTRIC CONTROL EIRL</t>
  </si>
  <si>
    <t>INVERSIONES VANSCELI EIRL</t>
  </si>
  <si>
    <t>HUAMAN BUSTINZA JULIO</t>
  </si>
  <si>
    <t>COPIADORAS IMPORT EIRL</t>
  </si>
  <si>
    <t>HUAYTA YAMPASI VICTORIA ANDREA</t>
  </si>
  <si>
    <t>LIMA VARGAS WILLINGTON</t>
  </si>
  <si>
    <t>NOVEDADES EMILY COLLECTION EIRL</t>
  </si>
  <si>
    <t>COYOTE'S MOTOR SA</t>
  </si>
  <si>
    <t>QUIROZ CONDE PABLO</t>
  </si>
  <si>
    <t>JOSMAR MOTORS EIRL</t>
  </si>
  <si>
    <t>LOARTE EIRL</t>
  </si>
  <si>
    <t>IMPORTACIONES QUIMICURT SAC</t>
  </si>
  <si>
    <t>RUELAS AVILA CINTYA MARGARET</t>
  </si>
  <si>
    <t>MALLQUI BACILIO AULERIO</t>
  </si>
  <si>
    <t>ALL TRADING &amp; CONSULTING SAC</t>
  </si>
  <si>
    <t>INTEGRACION LDCH SAC</t>
  </si>
  <si>
    <t>MAYTA MIRANDA KATIA YANINA</t>
  </si>
  <si>
    <t>M &amp; L RENTA CAR SAC</t>
  </si>
  <si>
    <t>MARTINEZ CURO JANETT MARLENE</t>
  </si>
  <si>
    <t>INCA ROMERO MAXIMO</t>
  </si>
  <si>
    <t>A &amp; M ANJUFA SAC</t>
  </si>
  <si>
    <t>YANGALI DE LA PEÑA WALTER LUIS</t>
  </si>
  <si>
    <t>MAKAWI GROUP SAC</t>
  </si>
  <si>
    <t>ANDIA TALAVERA BRIGUITT ESTHER</t>
  </si>
  <si>
    <t>UCEDA MORENO CARLOS ALBERTO</t>
  </si>
  <si>
    <t>TABLEROS KASPI SAC</t>
  </si>
  <si>
    <t>FERNANDEZ PEREZ ITANIEL</t>
  </si>
  <si>
    <t>ALANOCA CHOQUE WILLDER REY</t>
  </si>
  <si>
    <t>BARAZORDA CCOA SANDRA</t>
  </si>
  <si>
    <t>AYESTA SANCHEZ MEDALITH GABRIELA</t>
  </si>
  <si>
    <t>A &amp; B SOLUCIONES INDUSTRIALES SAC</t>
  </si>
  <si>
    <t>TUANAMA MURAYARI SANDRA</t>
  </si>
  <si>
    <t>REPRESENTACIONES FRAY MARTIN SRL</t>
  </si>
  <si>
    <t>CEVICHERIA EL TIBURON EIRL</t>
  </si>
  <si>
    <t>ARQUINIEVA DE LA CRUZ ROLAN WILBER</t>
  </si>
  <si>
    <t>ALFARO VILA HENRY WEILER</t>
  </si>
  <si>
    <t>WNACON SAC</t>
  </si>
  <si>
    <t>LA GRANJA DE PAPA SAC</t>
  </si>
  <si>
    <t>GRUPO HEISTEN TORRES EMPRESA INDIVIDUAL  DE RESPONSABILIDAD</t>
  </si>
  <si>
    <t>LOCERIA Y CRISTALERIA CALMET SAC</t>
  </si>
  <si>
    <t>PROVEEDURIA SANTA TERESITA EIRL</t>
  </si>
  <si>
    <t>B &amp; P CLEANING PERU  SAC</t>
  </si>
  <si>
    <t>MAQUINARIAS Y AGREGADOS EPM EIRL</t>
  </si>
  <si>
    <t>CHULLY ALVAREZ PABLO</t>
  </si>
  <si>
    <t>ECCOM EIRL</t>
  </si>
  <si>
    <t>ARONI NARVAEZ ALICIA</t>
  </si>
  <si>
    <t>ALIGOOD SAC</t>
  </si>
  <si>
    <t>CUYO CASAS CRISPIN ALFREDO</t>
  </si>
  <si>
    <t>MAMANI MAMANI DE CHATA LUDGARDA</t>
  </si>
  <si>
    <t>EXTINTORES ANEL EIRL</t>
  </si>
  <si>
    <t>PEREZ TAPIA SIXTO EDWAR</t>
  </si>
  <si>
    <t>MERA MARIN SARA</t>
  </si>
  <si>
    <t>IMPORTACIONES A UNO  EIRL</t>
  </si>
  <si>
    <t>LIME PERU SAC</t>
  </si>
  <si>
    <t>TALLER INDUSTRIAL DON JORGE EIRL</t>
  </si>
  <si>
    <t>FLORES FLORES NIEVES</t>
  </si>
  <si>
    <t>COTRINA PAREDES MARCO ANTONIO</t>
  </si>
  <si>
    <t>RUIZ RIOS DE ORTIZ MARISOL CELESTINA</t>
  </si>
  <si>
    <t>A &amp; J NEGOCIACIONES  VIDRIOS Y ALUMINIOS  EIRL</t>
  </si>
  <si>
    <t>SKY 19 EIRL</t>
  </si>
  <si>
    <t>TEXTILES ANGIE SPORT SAC</t>
  </si>
  <si>
    <t>FULL SANGUCHON SAC</t>
  </si>
  <si>
    <t>CAPCHA ROJAS GUMERCINDA</t>
  </si>
  <si>
    <t>SERVICIOS GENERALES  SESCARG EIRL</t>
  </si>
  <si>
    <t>FLORES SOTO BRAULIO MAXIMO</t>
  </si>
  <si>
    <t>JP EJECUCION Y ELABORACION DE PROYECTOS  SAC</t>
  </si>
  <si>
    <t>VASQUEZ DIAZ ANA MARIA</t>
  </si>
  <si>
    <t>USA MY BOX SAC</t>
  </si>
  <si>
    <t>INVERSIONES TEIF PALMA EIRL</t>
  </si>
  <si>
    <t>PHONIX WORLD SAC</t>
  </si>
  <si>
    <t>RUIZ CACIQUE LIMBERG</t>
  </si>
  <si>
    <t>RODRIGUEZ BRAVO FABIAN</t>
  </si>
  <si>
    <t>J &amp; P DISTRIBUIDORES SAC</t>
  </si>
  <si>
    <t>DELGADO SANCHEZ AIDE</t>
  </si>
  <si>
    <t>CHARA HANCCO ASENCIA</t>
  </si>
  <si>
    <t>SERVICIOS GENERALES  CAMVEL EIRLTDA</t>
  </si>
  <si>
    <t>CORPORACION CHICAS SAC</t>
  </si>
  <si>
    <t>CAMPOS MEJIA ROMAN</t>
  </si>
  <si>
    <t>ADRIANA PLUS EIRL</t>
  </si>
  <si>
    <t>DECOR TOP RETAMA SAC</t>
  </si>
  <si>
    <t>PALOMINO VASQUEZ FRANCISCO JAVIER</t>
  </si>
  <si>
    <t>VELASQUEZ VALVERDE WAYMER ALCIDES</t>
  </si>
  <si>
    <t>SERVICIOS INDUSTRIALES F &amp; PJ YALO SAC</t>
  </si>
  <si>
    <t>F &amp; R SERVICIOS GENERALES E INGENIERIA E IRL</t>
  </si>
  <si>
    <t>CASTRO RAMON ELIAS</t>
  </si>
  <si>
    <t>SIVINCHA PEÑA MIGUEL</t>
  </si>
  <si>
    <t>SEGELIM PERU EIRL</t>
  </si>
  <si>
    <t>NERYMAX EIRL</t>
  </si>
  <si>
    <t>COMERCIALIZADORA V &amp; G EIRL</t>
  </si>
  <si>
    <t>QUILCA QUILCA WALTHER</t>
  </si>
  <si>
    <t>ALMACENES SELVA CENTRAL SA</t>
  </si>
  <si>
    <t>IMPORTADORA FULL CAR SAC</t>
  </si>
  <si>
    <t>HUALLPA MERCADO EDWIN RICARDO</t>
  </si>
  <si>
    <t>CCOLQUE CHARA TEOFILA</t>
  </si>
  <si>
    <t>CATUNTA SONCCO YOLANDA</t>
  </si>
  <si>
    <t>FERRETERIA J &amp; S SAC</t>
  </si>
  <si>
    <t>JARA CESPEDES JULIO SABAS</t>
  </si>
  <si>
    <t>CHAMBE HUISA OMAR DAVID</t>
  </si>
  <si>
    <t>IMPORT &amp; EXPORT RKG  SAC</t>
  </si>
  <si>
    <t>PACHECO NAVEROS MARTHA</t>
  </si>
  <si>
    <t>CHOQUE ROQUE DINA ELIANA</t>
  </si>
  <si>
    <t>INSUMOS MEVICAR EIRL</t>
  </si>
  <si>
    <t>VALLE YALICO LUCIO DAYER</t>
  </si>
  <si>
    <t>RESTAURANT TURISTICO &amp; LOUNGE BAR LA RET AMA SCRLTDA</t>
  </si>
  <si>
    <t>CALLA APAZA PEDRO</t>
  </si>
  <si>
    <t>A Y B LA MONA AMAZONICA SAC</t>
  </si>
  <si>
    <t>MUÑIZ HUAMAN ELEUTERIO</t>
  </si>
  <si>
    <t>CABRERA NUÑEZ EDWARS ABRAHAN</t>
  </si>
  <si>
    <t>KCAMATO FLORES RUBEN</t>
  </si>
  <si>
    <t>BORJA MERCADO CRISTINA</t>
  </si>
  <si>
    <t>INVERSIONES LA OTRA  DAMA EIRL</t>
  </si>
  <si>
    <t>AVENDAÑO YAPUCHURA HILDA GLORIA</t>
  </si>
  <si>
    <t>CARHUANIRA CAMPOS CRISTIAN</t>
  </si>
  <si>
    <t>SURCO PAREDES AGAPITO</t>
  </si>
  <si>
    <t>CREACIONES BIHAONE EIRL</t>
  </si>
  <si>
    <t>LLONTOP RUMICHE MERCEDES</t>
  </si>
  <si>
    <t>INVERSIONES EMPRESARIALES BRUNA SAC</t>
  </si>
  <si>
    <t>CRUZ MELO JAVIER</t>
  </si>
  <si>
    <t>VASQUEZ PALOMINO BLANCA</t>
  </si>
  <si>
    <t>CORPORACION NAHOCA SAC</t>
  </si>
  <si>
    <t>PUMARRUMI SANTOS GENARO</t>
  </si>
  <si>
    <t>MECANO ESTRUCTURAS SAC</t>
  </si>
  <si>
    <t>TEGOTEX SAC</t>
  </si>
  <si>
    <t>APOLINARIO ALVARADO ERMILIANO</t>
  </si>
  <si>
    <t>MONTERO VALVERDE RUD JAMEN</t>
  </si>
  <si>
    <t>TECNICAV SERVICE EIRL</t>
  </si>
  <si>
    <t>VIDRIERIA Y DECORACIONES SHADDAI EIRL</t>
  </si>
  <si>
    <t>DE LA CRUZ AROTOMA AMANCIO</t>
  </si>
  <si>
    <t>MANCINI APAZA OVIDIO</t>
  </si>
  <si>
    <t>VALDIVIESO GUEVARA RAMON HILDAURO</t>
  </si>
  <si>
    <t>ARANGO QUISPE VICTOR</t>
  </si>
  <si>
    <t>VICENTE JIMENEZ OLIVA</t>
  </si>
  <si>
    <t>TECNOLOGIA AGRICOLA  GRAN CHIMU EIRL</t>
  </si>
  <si>
    <t>SUAREZ SEGOVIA JORGE LUIS</t>
  </si>
  <si>
    <t>ASTO RIVEROS RAUL</t>
  </si>
  <si>
    <t>YANA LLANOS OSCAR JHONY</t>
  </si>
  <si>
    <t>RIVEROS ANTEZANA EUSEBIO</t>
  </si>
  <si>
    <t>HUAMAN PADILLA HELDER</t>
  </si>
  <si>
    <t>EMPRESA ANDEES SAC</t>
  </si>
  <si>
    <t>SALAS ESPINOZA GISELLA MELIZA</t>
  </si>
  <si>
    <t>CVS INDUSTRIAL EIRL</t>
  </si>
  <si>
    <t>ALVAS'S HOSTAL EIRL</t>
  </si>
  <si>
    <t>COMERCIALIZADORA MEDICLIFE SOCIEDAD ANON IMA CERRADA</t>
  </si>
  <si>
    <t>APAZA QUISPE LUIS GERARDO</t>
  </si>
  <si>
    <t>WAPAMO INVERSIONES SAC</t>
  </si>
  <si>
    <t>QUISPE CONDORI FERMIN</t>
  </si>
  <si>
    <t>ALANOCA RAMOS ELENA FAVIANA</t>
  </si>
  <si>
    <t>GUERRA ARROYO MIRTHA YENNY</t>
  </si>
  <si>
    <t>HERRERA CONDEZO CARLOS</t>
  </si>
  <si>
    <t>MARQUEZ LOSTAUNAU RUYVAL POMPEYO</t>
  </si>
  <si>
    <t>CHAVEZ MANCHEGO EDUARDO</t>
  </si>
  <si>
    <t>ALAYO PORTURAS VILCA MARIA ELENA</t>
  </si>
  <si>
    <t>ASJ SERVICIOS GENERALES SAC</t>
  </si>
  <si>
    <t>MULTISERVICIOS CRISBEN EIRL</t>
  </si>
  <si>
    <t>LUQUE CATUNTA VIVIANA</t>
  </si>
  <si>
    <t>MULTISERVICIOS E HIDRAULICAS LOS ANGELES  A &amp; V SAC</t>
  </si>
  <si>
    <t>LUGO AQUIÑO ELIZABETH</t>
  </si>
  <si>
    <t>LLANQUE HUANCA EFRAIN</t>
  </si>
  <si>
    <t>SEKURA SAC</t>
  </si>
  <si>
    <t>CORDOVA ALANOCA LILIANA</t>
  </si>
  <si>
    <t>G &amp; C FERRETEROS EIRL</t>
  </si>
  <si>
    <t>CHAMBILLA CHAPARRO PEDRO FELIX</t>
  </si>
  <si>
    <t>PASTELERIA DOS EN UNO SAC</t>
  </si>
  <si>
    <t>FERNANDEZ NAOLA HERMINIA</t>
  </si>
  <si>
    <t>MULTIPRODUCTOS BELEN SCRL</t>
  </si>
  <si>
    <t>A#B# SEGURIDAD S#A#C</t>
  </si>
  <si>
    <t>QUIMICA SUDAMERICANA S A</t>
  </si>
  <si>
    <t>INVERSIONES CANTO SANCHEZ EIRL</t>
  </si>
  <si>
    <t>IMPORTADORA DE REPUESTOS PAREJA SAC</t>
  </si>
  <si>
    <t>ARTEZANO DE REMUZGO MAXIMIANA</t>
  </si>
  <si>
    <t>LADERA HUAMAN WALTHER SANTOS</t>
  </si>
  <si>
    <t>MAROS IMPORT SAC</t>
  </si>
  <si>
    <t>METAVID EIRL</t>
  </si>
  <si>
    <t>PEREZ ABURTO NORMA CRISTINA</t>
  </si>
  <si>
    <t>ROMAN SALOME MARIZA JENY</t>
  </si>
  <si>
    <t>CREACIONES JOSMAR HNOS</t>
  </si>
  <si>
    <t>MONTALVAN SUYON JUAN</t>
  </si>
  <si>
    <t>SOTO MENDOZA ANGEL</t>
  </si>
  <si>
    <t>SIANCAS GASTELO JORGE LUIS</t>
  </si>
  <si>
    <t>CCAPA CCAMERCCOA CIRILA</t>
  </si>
  <si>
    <t>HORNA CORRALES DANTE ANTONIO</t>
  </si>
  <si>
    <t>MANUFACTURAS Y PROCESOS INTEGRADOS EIRL</t>
  </si>
  <si>
    <t>ZUMAETA PEREZ MARINA</t>
  </si>
  <si>
    <t>GUILLEN GUILLEN CLIPER R</t>
  </si>
  <si>
    <t>INVERSIONES GENERALES OLIVER SAC</t>
  </si>
  <si>
    <t>REPRESENTACIONES SOLANSH EIRL</t>
  </si>
  <si>
    <t>ASCENCIO CRUZ EUSEBIO</t>
  </si>
  <si>
    <t>LA GENEROSA SERVICIOS GENERALES SRL</t>
  </si>
  <si>
    <t>RACHO GONZALES EUSEBIO</t>
  </si>
  <si>
    <t>PANIAGUA RIMACHI GUDELIA</t>
  </si>
  <si>
    <t>CAPIRA YANQUE ISAC SAUL</t>
  </si>
  <si>
    <t>ARAUJO QUISPE JUAN CESAR</t>
  </si>
  <si>
    <t>LUCIA MOYONERO EIRL</t>
  </si>
  <si>
    <t>VELASQUEZ MINAYA VILMA</t>
  </si>
  <si>
    <t>TORRES ROSAS YUL BARTOLO</t>
  </si>
  <si>
    <t>CORPORACION MERCANTIL AYQUIPA EIRL</t>
  </si>
  <si>
    <t>QUISPE HUAMAN GLORIA</t>
  </si>
  <si>
    <t>PEREZ PACHARI FIDELA TEODOCIA</t>
  </si>
  <si>
    <t>INDUSTRIAS GASPY SOCIEDAD ANONIMA CERRAD A</t>
  </si>
  <si>
    <t>J&amp;R EBENEZER SAC</t>
  </si>
  <si>
    <t>REYNA CONSTRUCTORA Y CONSULTORIA SAC</t>
  </si>
  <si>
    <t>SAFETY FILMS PERU SAC</t>
  </si>
  <si>
    <t>TRANSPORTES IBARRA EIRL</t>
  </si>
  <si>
    <t>SUAREZ FUENTES EMMA JULIA</t>
  </si>
  <si>
    <t>CORPORACION FREDY ARENAS &amp; EAH EIRL</t>
  </si>
  <si>
    <t>GRUPO EL LEOPARDO SAC</t>
  </si>
  <si>
    <t>HUAMANI PACO ROSA ELENA</t>
  </si>
  <si>
    <t>CARHUAS RIOS BRUNO AURELIO</t>
  </si>
  <si>
    <t>MINAYA TORRES ROSA TEODOSIA</t>
  </si>
  <si>
    <t>CORONADO ARAMBURU ELISABETH</t>
  </si>
  <si>
    <t>CAYSAHUANA PEREZ VIRGINIA</t>
  </si>
  <si>
    <t>REPUESTOS GUTI EIRL</t>
  </si>
  <si>
    <t>HOSPEDAJE PAOLA'S EIRL</t>
  </si>
  <si>
    <t>GALOC MAS JOSE KENNEDY</t>
  </si>
  <si>
    <t>CARESNY'S SOLUTIONS IN INDUSTRIAL &amp; MECHANICAL PERU SAC</t>
  </si>
  <si>
    <t>DIAZ CRUZ YERIKA IVONNE</t>
  </si>
  <si>
    <t>REPRESENTACIONES HATUN QAPAC SAC</t>
  </si>
  <si>
    <t>INVERSIONES FERMEDIC EIRL</t>
  </si>
  <si>
    <t>SILVA ALEJANDRIA JOSE WILLIAM</t>
  </si>
  <si>
    <t>TRUJILLO MALCA CESAR MARIO</t>
  </si>
  <si>
    <t>CHOQUEHUAYTA MORALES EDWIN FRANCISCO</t>
  </si>
  <si>
    <t>JUNTA DE USUARIOS HUALLAGA CENTRAL</t>
  </si>
  <si>
    <t>FLORES PEREZ JAVIER</t>
  </si>
  <si>
    <t>FRESH CONFORT SAC</t>
  </si>
  <si>
    <t>AQ FENIX SAC</t>
  </si>
  <si>
    <t>SEBASTIAN ESPINOZA HERNAN GRADOS</t>
  </si>
  <si>
    <t>MAMANI COARITA LUIS ALFREDO</t>
  </si>
  <si>
    <t>SALVADOR NEYRA SILVIA</t>
  </si>
  <si>
    <t>SOLIS SANDOVAL PEDRO ANTONIO</t>
  </si>
  <si>
    <t>MULTISERVICIOS E INVERSIONES KENNYS SAC</t>
  </si>
  <si>
    <t>DE LA CRUZ HUAMAN CATALINA</t>
  </si>
  <si>
    <t>TAPULLIMA FASABI HUGO</t>
  </si>
  <si>
    <t>INVERSIONES AMAVYS EIRL</t>
  </si>
  <si>
    <t>MIRANDA CACERES NATIVIDAD</t>
  </si>
  <si>
    <t>JAYLOU EIRL</t>
  </si>
  <si>
    <t>EXPRESA SRL</t>
  </si>
  <si>
    <t>REPUESTOS CASTILLO SAC</t>
  </si>
  <si>
    <t>CARRANZA DE PAREDES NANCY BIENVENIDA</t>
  </si>
  <si>
    <t>CLEMENTE DE CRUZ MARIA GENOVEVA</t>
  </si>
  <si>
    <t>QUISPE CALDERON MARTHA</t>
  </si>
  <si>
    <t>SERVICIOS MULTIPLES  YOLIMEL EIRL</t>
  </si>
  <si>
    <t>FLORES FLORES RICARDO MARX</t>
  </si>
  <si>
    <t>BRHOMANS CONFECCIONES SRL</t>
  </si>
  <si>
    <t>BENITES CAJAS DOMINGA DOMITILA</t>
  </si>
  <si>
    <t>NARRO PALACIOS JOSE RENATO</t>
  </si>
  <si>
    <t>INVERSIONES MARTINEZ EIRL</t>
  </si>
  <si>
    <t>POCCO CONDO EULOGIA REYMUNDA</t>
  </si>
  <si>
    <t>JHADE TEXTILE CORPORATION SAC</t>
  </si>
  <si>
    <t>COMERCIAL MILSOT EIRL</t>
  </si>
  <si>
    <t>NEGOCIOS Y DISTRIBUCIONES MAFESA SRL</t>
  </si>
  <si>
    <t>QUIROGA CORNEJO MARIA</t>
  </si>
  <si>
    <t>HUANCHI QUISPE ELOY</t>
  </si>
  <si>
    <t>A-SERVICES EIRL</t>
  </si>
  <si>
    <t>VASQUEZ ESTELA FELIX</t>
  </si>
  <si>
    <t>JIMENEZ VALDIVIEZO MARIO ENRIQUE</t>
  </si>
  <si>
    <t>GOMEZ CARDENAS RENE</t>
  </si>
  <si>
    <t>ARASA PERU SAC</t>
  </si>
  <si>
    <t>MEGAMOTOR PYV SAC</t>
  </si>
  <si>
    <t>MARCOS LUQUE JOSE LUIS</t>
  </si>
  <si>
    <t>APLICACIONES Y RECONSTRUCCIONES CON CROM O DURO SAC</t>
  </si>
  <si>
    <t>ALVAREZ MOZO JUANA</t>
  </si>
  <si>
    <t>DINTEC PERU SAC</t>
  </si>
  <si>
    <t>GOMEZ HUALLPA LUCIO</t>
  </si>
  <si>
    <t>ETIFLEXO S.A.C</t>
  </si>
  <si>
    <t>FLORES VALDIVIA JOSE CARLOS</t>
  </si>
  <si>
    <t>HUAMAN DE LA CRUZ HUGO</t>
  </si>
  <si>
    <t>ASHCALLA IZAGUIRRE NELLY IRIS</t>
  </si>
  <si>
    <t>CARDENAS DIAZ EFRAIN</t>
  </si>
  <si>
    <t>VIDURRIZAGA CANEVARO ELVA ROSA</t>
  </si>
  <si>
    <t>ALVARADO VASQUEZ BENIGNO</t>
  </si>
  <si>
    <t>ARTEAGA HUAMAN ALAN DENIS</t>
  </si>
  <si>
    <t>PARIONA GUERRERO EDWIN</t>
  </si>
  <si>
    <t>NEO VISION OPTICAS EIRL</t>
  </si>
  <si>
    <t>ACUÑA SAAVEDRA EDILFONSO</t>
  </si>
  <si>
    <t>ESPIRE GIL MARINO</t>
  </si>
  <si>
    <t>JUAREZ SAAVEDRA WILMER JESUS</t>
  </si>
  <si>
    <t>PACHECO PAREDES FERNANDO</t>
  </si>
  <si>
    <t>MULTIMOTO TALARA SOCIEDAD ANONIMA CERRAD A</t>
  </si>
  <si>
    <t>INOCENTE VILLANUEVA GRACIELA GIOVANA</t>
  </si>
  <si>
    <t>MAESTRYLZ EIRL</t>
  </si>
  <si>
    <t>ENGLOBADOS EIRL</t>
  </si>
  <si>
    <t>QUISPE CONDE FREDY</t>
  </si>
  <si>
    <t>LLANQUE CURO NESTOR RAUL</t>
  </si>
  <si>
    <t>GARCIA NAVARRO PEDRO GUILLERMO</t>
  </si>
  <si>
    <t>JULGIAN COLLECTION SAC</t>
  </si>
  <si>
    <t>E &amp; M IMPRESORES SRL</t>
  </si>
  <si>
    <t>APR IMPORT SAC</t>
  </si>
  <si>
    <t>MAGUIÑA CHAVEZ CHRISTIAN JESUS</t>
  </si>
  <si>
    <t>MORVEN EIRL</t>
  </si>
  <si>
    <t>LINAREZ PUERTA MARGARETH ANTONIA</t>
  </si>
  <si>
    <t>WL CODIMAFER SAC</t>
  </si>
  <si>
    <t>SANTA CRUZ DEL AGUILA MARIA LUZ</t>
  </si>
  <si>
    <t>QUISPE PACORI ANTONIA</t>
  </si>
  <si>
    <t>LUQUE CURAZI LIZ YAZMIN</t>
  </si>
  <si>
    <t>VARGAS PUERTA SABINA</t>
  </si>
  <si>
    <t>JULCA GONZALES JAIME FERNANDO</t>
  </si>
  <si>
    <t>LAB PRODUCTS SRL</t>
  </si>
  <si>
    <t>CRUZ HUALLPA MARY LUZ</t>
  </si>
  <si>
    <t>MAMANI PASCAJA VICTOR</t>
  </si>
  <si>
    <t>NEGOCIOS GENERALES JANITO EIRL</t>
  </si>
  <si>
    <t>FLOURP SOLUCIONES SRL</t>
  </si>
  <si>
    <t>IDEAS GASTRONOMICAS  SAC</t>
  </si>
  <si>
    <t>HUACCACHI CHANCAS CARLOS ALFREDO</t>
  </si>
  <si>
    <t>REYNA ROJAS JOHANA AZUCENA</t>
  </si>
  <si>
    <t>HERNANDEZ BURGA LEYDI</t>
  </si>
  <si>
    <t>ORTEGA GARCIA ELBER</t>
  </si>
  <si>
    <t>LEON CUPE OCTAVIANO</t>
  </si>
  <si>
    <t>ORDINOLA DE CELI SANTOS AGUEDA</t>
  </si>
  <si>
    <t>CORPORACION MEDSA SAC</t>
  </si>
  <si>
    <t>INVERSIONES KAMARO SRL</t>
  </si>
  <si>
    <t>CENTENO MANRIQUE ANA MARIA</t>
  </si>
  <si>
    <t>PEREZ HONORI BALBINA</t>
  </si>
  <si>
    <t>LAZO HIDALGO DIONY SILVIA</t>
  </si>
  <si>
    <t>ACEROS JUNIOR EIRL</t>
  </si>
  <si>
    <t>BRAVO HERRERA ARMANDO</t>
  </si>
  <si>
    <t>OSIS MENDEZ JUANA TERESA</t>
  </si>
  <si>
    <t>MAMANI FLORES BENITA</t>
  </si>
  <si>
    <t>AQUISE PACOMPIA OSCAR</t>
  </si>
  <si>
    <t>MOTOPARTES UCAYALI SRL</t>
  </si>
  <si>
    <t>PALOMINO QUISPE TEOFILO</t>
  </si>
  <si>
    <t>AUDITORIAS EMPRESARIALES SAC</t>
  </si>
  <si>
    <t>CONSORCIO CURICH SAC</t>
  </si>
  <si>
    <t>A &amp; C INVERSIONES E  IMPORTACIONES SAC</t>
  </si>
  <si>
    <t>AGROCOMERCIO SRL</t>
  </si>
  <si>
    <t>INVERSIONES EDUARDO  &amp; HNOS SOCIEDAD ANON IMA CERRADA</t>
  </si>
  <si>
    <t>PEÑA SANCHEZ JOHNNY AQUILES</t>
  </si>
  <si>
    <t>NEW LINE COMERCIAL SOTO EIRL</t>
  </si>
  <si>
    <t>TORRES POMA MARTHA ANA</t>
  </si>
  <si>
    <t>VIRTUAL BUSINESS CUSCO SAC</t>
  </si>
  <si>
    <t>QUISPE LEGUIA RICHARD</t>
  </si>
  <si>
    <t>INVERSIONES MENDOZA  AUTOMOTRIZ WANKA EIR L</t>
  </si>
  <si>
    <t>CERRON ALIAGA CLETO GUIGBERTO</t>
  </si>
  <si>
    <t>C &amp; S YE SANG EIRL</t>
  </si>
  <si>
    <t>ROLANDO MALPARTIDA CARLOS</t>
  </si>
  <si>
    <t>PERUFLEX EIRL</t>
  </si>
  <si>
    <t>HARO DIAZ NOLAN ESTENIO</t>
  </si>
  <si>
    <t>LINARES SANDOVAL ENITH</t>
  </si>
  <si>
    <t>MENDOZA MAMANI EULOGIO</t>
  </si>
  <si>
    <t>SOTO PEDROSO DE LOZANO IRMA ELENA</t>
  </si>
  <si>
    <t>TAPIA TORRES UBELSER</t>
  </si>
  <si>
    <t>APAZA HUAMAN CLAUDIO GERARDO</t>
  </si>
  <si>
    <t>MAMANI MAMANI VICTORIA</t>
  </si>
  <si>
    <t>GUERRA ILLESCA EDER RUBEN</t>
  </si>
  <si>
    <t>MORAN LLACTAHUAMAN LIZ PAOLA</t>
  </si>
  <si>
    <t>GUTIERREZ APAZA EUDES</t>
  </si>
  <si>
    <t>CAHUAPAZA MAMANI REYNA</t>
  </si>
  <si>
    <t>EDITORIAL VALOR EIRL</t>
  </si>
  <si>
    <t>MI PC INTERNACIONAL  EIRL</t>
  </si>
  <si>
    <t>INSUMOS Y FORRAJES EIRL</t>
  </si>
  <si>
    <t>TICSE NUÑEZ MARITZA</t>
  </si>
  <si>
    <t>GUDMOVIL SAC</t>
  </si>
  <si>
    <t>ANTICONA ROJAS CARMEN DEL PILAR</t>
  </si>
  <si>
    <t>VILCA PEQQUEÑA PEDRO</t>
  </si>
  <si>
    <t>AM GRUPO ASOCIADO SAC</t>
  </si>
  <si>
    <t>NORTH PERU TOURS SAC</t>
  </si>
  <si>
    <t>TORRES QUISPE TERESA IRENE</t>
  </si>
  <si>
    <t>RUIZ MEDINA CLEMENTINA MIRYAM</t>
  </si>
  <si>
    <t>VASQUEZ ROCHA SANTIAGO</t>
  </si>
  <si>
    <t>SAAVEDRA ESCAJADILLO MARITZA GIOVANNA</t>
  </si>
  <si>
    <t>FLORIANO MENDOZA CLARA JULIANA</t>
  </si>
  <si>
    <t>MENDOZA SANABRIA MARTHA ALEJANDRINA</t>
  </si>
  <si>
    <t>INGENIERIA INDUSTRIAL ZENTENO SRL</t>
  </si>
  <si>
    <t>H&amp;H COMERCIOS EIRL</t>
  </si>
  <si>
    <t>H &amp; M SUPPLY SOLUTIONS SAC</t>
  </si>
  <si>
    <t>COMERCIAL ROSARIO &amp;  LEONARDO SAC</t>
  </si>
  <si>
    <t>ZONA OUTLET SHOES EIRL</t>
  </si>
  <si>
    <t>RF MAQUINARIAS SAC</t>
  </si>
  <si>
    <t>CORCINO BASHI ORLANDO</t>
  </si>
  <si>
    <t>VALLADARES NOBLECILLA ALBERTO GERMAN</t>
  </si>
  <si>
    <t>FERNANDEZ VASQUEZ FELICITA</t>
  </si>
  <si>
    <t>CASTILLO PATIÑO VICTORIA</t>
  </si>
  <si>
    <t>CCOTO TUNQUI PERCY</t>
  </si>
  <si>
    <t>CHAVEZ HUAMANI MARLENI PASCUALA</t>
  </si>
  <si>
    <t>DE PAZ FLORES MILLER FABIANI</t>
  </si>
  <si>
    <t>CARITA FLORES FRANKLIN NESTOR</t>
  </si>
  <si>
    <t>ALCANTARA VARGAS MARIA DEL CARMEN</t>
  </si>
  <si>
    <t>SIVINCHA PEÑA MARCELINO</t>
  </si>
  <si>
    <t>HUASUPOMA HERRERA YULIANA LISBEL</t>
  </si>
  <si>
    <t>RAMOS MACEDO ADELINA</t>
  </si>
  <si>
    <t>CRUZ PHARRY MARIA DEL PILAR</t>
  </si>
  <si>
    <t>TICLLA RAFAEL ROSI MARIA</t>
  </si>
  <si>
    <t>QUEZADA MIRANDA JONATHAN DEYVI</t>
  </si>
  <si>
    <t>VASQUEZ MURGA SEGUNDO</t>
  </si>
  <si>
    <t>MIXDISTRIBUCIONES SAC</t>
  </si>
  <si>
    <t>BIG DREAMS &amp; DRINKS  SAC</t>
  </si>
  <si>
    <t>PARAISO IQUITOS EIRL</t>
  </si>
  <si>
    <t>BATERIAS TUMI SAC</t>
  </si>
  <si>
    <t>CONDORI HUAYTA MAXI</t>
  </si>
  <si>
    <t>FACTORIA INDUSTRIAL  ROBERTO ACEVEDO SAC</t>
  </si>
  <si>
    <t>GETEM SAC</t>
  </si>
  <si>
    <t>INVERSIONES K Y L SRL</t>
  </si>
  <si>
    <t>T-LIMPIO SAC</t>
  </si>
  <si>
    <t>HUAMANI RIVERA KAREN JUNIETH</t>
  </si>
  <si>
    <t>ALIAGA CASTRO JOSE ANDRES</t>
  </si>
  <si>
    <t>ZOOFARMA PERU SAC</t>
  </si>
  <si>
    <t>FLORES HIDALGO ORLANDO NICOLAS</t>
  </si>
  <si>
    <t>CAPACYACHI RIOS RICARDO JULIO</t>
  </si>
  <si>
    <t>JAVIER F BOTICA EXA  EIRL</t>
  </si>
  <si>
    <t>MORALES PLASENCIA MABELUZ ANABELA</t>
  </si>
  <si>
    <t>AISLAMIENTOS Y MONTAJES EXTRUCTURALES EI RL</t>
  </si>
  <si>
    <t>TERRONES ALEJANDRIA MARIA TERESA</t>
  </si>
  <si>
    <t>SEGOVIA ZELA ROY FREDY</t>
  </si>
  <si>
    <t>CORPORACION DJMA CHOQUE SAC</t>
  </si>
  <si>
    <t>DEZA QUISPE ARTEMIZA</t>
  </si>
  <si>
    <t>VELASCO CHAMORRO ROSSMERY</t>
  </si>
  <si>
    <t>CORPORATIVO ILOSUR EIRL</t>
  </si>
  <si>
    <t>MAITA RODRIGUEZ OMAR GUSTAVO</t>
  </si>
  <si>
    <t>TEJADA TORRES MARITZA JANET</t>
  </si>
  <si>
    <t>FACTORIA SANCHEZ SAC</t>
  </si>
  <si>
    <t>CASTRO ARAUJO ELIAS BRUNO</t>
  </si>
  <si>
    <t>VERA AGUILAR NESTOR PROSPERO</t>
  </si>
  <si>
    <t>RIVERA GAVINO OLGA</t>
  </si>
  <si>
    <t>VILCAPOMA OSORIO LOURDES NOEMI</t>
  </si>
  <si>
    <t>CANSAYA MAMANI MARIA ELENA</t>
  </si>
  <si>
    <t>ARIZA CORRALES ANDRES</t>
  </si>
  <si>
    <t>COMERCIALIZADORA DELICIA'S SAC</t>
  </si>
  <si>
    <t>NOLASCO HIDALGO CAROLINA ISELA</t>
  </si>
  <si>
    <t>CALZATURE ALHELI SAC</t>
  </si>
  <si>
    <t>VIDRIERIA BRIDAX EIRL</t>
  </si>
  <si>
    <t>ALMENDRADES ARANDA JAIME ALFREDO</t>
  </si>
  <si>
    <t>INVERSIONES ARENADOS Y BISELADOS REAL SA C</t>
  </si>
  <si>
    <t>MINAYA ALVARADO JOSELYN ISABEL</t>
  </si>
  <si>
    <t>GUTIERREZ DIAZ GUSTAVO CEFERINO</t>
  </si>
  <si>
    <t>RECICLAJE INTEGRAL EIRL</t>
  </si>
  <si>
    <t>GUIZADO QUISPE ABNER</t>
  </si>
  <si>
    <t>SORIA BARDALEZ LIDIA</t>
  </si>
  <si>
    <t>CORPORACION BENDHY EIRL</t>
  </si>
  <si>
    <t>CEMADEP GROUP SAC</t>
  </si>
  <si>
    <t>SONCCO CARRILLO VERONICA</t>
  </si>
  <si>
    <t>ARRIAGA AGUILAR JUAN GABRIEL</t>
  </si>
  <si>
    <t>VILLARREAL MIRANDA ILSA</t>
  </si>
  <si>
    <t>AGRONEGOCIOS SIPAN SAC</t>
  </si>
  <si>
    <t>CORP CAMACHO SAC</t>
  </si>
  <si>
    <t>PEQUE TIENDA EIRL</t>
  </si>
  <si>
    <t>RESTAURANT ANTICUCHERIA CERO GRADOS SCRL</t>
  </si>
  <si>
    <t>MINI MARKET MENDOCITA SA</t>
  </si>
  <si>
    <t>MALCA INFANTES DORIS</t>
  </si>
  <si>
    <t>CANCHO GUTIERREZ ESTEBAN VLADIMIR</t>
  </si>
  <si>
    <t>MANUFACTURA Y REPRESENTACIONES FLOREMIA  &amp; KIK'GES SAC</t>
  </si>
  <si>
    <t>NEGOCIOS TURISTICOS  CURAKA AMAZONICO EIR L</t>
  </si>
  <si>
    <t>MYAFEST EIRL</t>
  </si>
  <si>
    <t>PONCE AQUINO NESTOR</t>
  </si>
  <si>
    <t>FERRETERIA FERJAVI EIRL</t>
  </si>
  <si>
    <t>QUIJANO CAMARA JUAN CARLOS</t>
  </si>
  <si>
    <t>RTC ELECTRIC SAC</t>
  </si>
  <si>
    <t>MAMANI YTO FORTUNATO</t>
  </si>
  <si>
    <t>SANCHEZ LIZANA CARLOS HENRY</t>
  </si>
  <si>
    <t>RIOS SABINO YOLANDA</t>
  </si>
  <si>
    <t>SILVESTRE JIMENEZ ANATOLIO CELEDONIO</t>
  </si>
  <si>
    <t>ANDINA TOOLS EIRL</t>
  </si>
  <si>
    <t>BUJAICO FLORES HECTOR PEDRO</t>
  </si>
  <si>
    <t>CREATIVE KNIT SAC</t>
  </si>
  <si>
    <t>INVERSIONES YOGOMA EIRL</t>
  </si>
  <si>
    <t>MICHELANGELO S GRILL PIZZAS &amp; PASTAS EIR L</t>
  </si>
  <si>
    <t>INFANTE CASTILLO LEINY EDDITH</t>
  </si>
  <si>
    <t>PACOMPIA COILA JACOBA</t>
  </si>
  <si>
    <t>SG INDUSTRIAS ELECTRIC EIRL</t>
  </si>
  <si>
    <t>CHIPA VARGAS JUVENAL</t>
  </si>
  <si>
    <t>BEJAR JIMENEZ PAOLA</t>
  </si>
  <si>
    <t>RENTA T SAC</t>
  </si>
  <si>
    <t>CALVAY CHECA JOSE MIGUEL</t>
  </si>
  <si>
    <t>ZIRENA PARI PASCUALA YOLANDA</t>
  </si>
  <si>
    <t>SANCHEZ GUZMAN LUCILA</t>
  </si>
  <si>
    <t>JAKE CONTRATISTAS GENERALES SOCIEDAD ANO NIMA CERRADA</t>
  </si>
  <si>
    <t>LOS LIBROS MAS PEQUE¿OS DEL MUNDO EIRL</t>
  </si>
  <si>
    <t>ALLENDE SAAVEDRA ORLANDA OLGA</t>
  </si>
  <si>
    <t>INVERSIONES EL CONSTRUCTOR SAC</t>
  </si>
  <si>
    <t>QUISPE PARIHUANA DINNO ALEJANDRO</t>
  </si>
  <si>
    <t>CAPCHA SOTA ROY KILLER</t>
  </si>
  <si>
    <t>LAYME GUTIERREZ FERNANDO DENIS</t>
  </si>
  <si>
    <t>PINEDO DE GARCIA YOLANDA</t>
  </si>
  <si>
    <t>MAGDA LUQUE ESTUDIO  DE DISE¿O INTERIOR S AC</t>
  </si>
  <si>
    <t>TUPAYACHI PORTUGAL JUAN DE LA CRUZ</t>
  </si>
  <si>
    <t>MARIN VASQUEZ MARLENY</t>
  </si>
  <si>
    <t>ORE OSORIO GREMANESA</t>
  </si>
  <si>
    <t>TURPO ANCCO PASCUALA</t>
  </si>
  <si>
    <t>FALCON MARTIN ROSARIO MAXIMA</t>
  </si>
  <si>
    <t>INVERSIONES &amp; DISTRIBUICIONES FERRESUR E IRL</t>
  </si>
  <si>
    <t>SUMINISTROS TEXTILES BIANCATEX EIRL</t>
  </si>
  <si>
    <t>OPTICA MOGOLLON SAC</t>
  </si>
  <si>
    <t>PARIONA VENTURA ALBERTO</t>
  </si>
  <si>
    <t>QUISPE SUCAPUCA SULMA LIDIA</t>
  </si>
  <si>
    <t>I4A SAC</t>
  </si>
  <si>
    <t>VASQUEZ MONTES LIZZET MAYRA</t>
  </si>
  <si>
    <t>SERVICIO TECNICO INDUSTRIAL Y AERONAUTIC O SCRL</t>
  </si>
  <si>
    <t>ALEXANDER COMUNICACIONES EIRL</t>
  </si>
  <si>
    <t>COMERCIAL LIA SRL</t>
  </si>
  <si>
    <t>JAUREGUI HUAMAN ISAIAS</t>
  </si>
  <si>
    <t>MONTENEGRO DELGADO ELIZABETH</t>
  </si>
  <si>
    <t>RODRIGUEZ QUISPE WILBER</t>
  </si>
  <si>
    <t>OTINIANO LAZARO ROSA VIOLETA</t>
  </si>
  <si>
    <t>PEÑA HUANSHA IVER YOHON</t>
  </si>
  <si>
    <t>PINEDO PINEDO WILDER</t>
  </si>
  <si>
    <t>AGROPECUARIA EL TAMBO SAC</t>
  </si>
  <si>
    <t>MAMANI ZAPANA ROBERTA</t>
  </si>
  <si>
    <t>QUISPE APAZA DINA RUFINA</t>
  </si>
  <si>
    <t>ESCUDERO RIOS CARLOS</t>
  </si>
  <si>
    <t>INVERSIONES BOLIVAR  TACNA SAC</t>
  </si>
  <si>
    <t>SURCO ALVAREZ SONIA LUZ</t>
  </si>
  <si>
    <t>OVIEDO ROMERO YONI</t>
  </si>
  <si>
    <t>INVERSIONES PEGASUS  SAC</t>
  </si>
  <si>
    <t>TACCA QUISPE WILBER</t>
  </si>
  <si>
    <t>ART IMPRESORES ANDRE EIRL</t>
  </si>
  <si>
    <t>PLASTICOS SANTOS SH  EIRL</t>
  </si>
  <si>
    <t>COMERCIAL TEXTIL LLAMOSA EIRL</t>
  </si>
  <si>
    <t>GRUPO ROBERT SAC</t>
  </si>
  <si>
    <t>ROJAS ASTETE MANUEL ALEXIS</t>
  </si>
  <si>
    <t>PEREZ JACOBO SANTOS MARINO</t>
  </si>
  <si>
    <t>URBANO ORTEGA NORA MAYER</t>
  </si>
  <si>
    <t>PLASTICOS V EIRL</t>
  </si>
  <si>
    <t>POBLETE NIÑO JOSE LUIS</t>
  </si>
  <si>
    <t>VILLAFUERTE CHAMANA MARTIN CRISOLOGO</t>
  </si>
  <si>
    <t>INVERSIONES JP SAC</t>
  </si>
  <si>
    <t>DIAZ HERNANDEZ ROWILDE ANDINE</t>
  </si>
  <si>
    <t>MENDEZ VILCHEZ ANA MARIA</t>
  </si>
  <si>
    <t>INVERSIONES HOTELERAS RUSA EIRL</t>
  </si>
  <si>
    <t>LARA DE BLAS JUANA</t>
  </si>
  <si>
    <t>NORIEGA RUIZ LAURA ERNESTINA</t>
  </si>
  <si>
    <t>CORPORACION MACARO SAC</t>
  </si>
  <si>
    <t>NEGOCIOS KAVEL EIRL</t>
  </si>
  <si>
    <t>PACCO LAROTA GREGORIA</t>
  </si>
  <si>
    <t>YOMIQUI COMERCIALIZADORA &amp; SERVICIOS DIG ITALES EIRL</t>
  </si>
  <si>
    <t>VIDAL ALIAGA EMILIO JOSE</t>
  </si>
  <si>
    <t>RAMOS CUEVA JUVENAL VICTOR MARTIN</t>
  </si>
  <si>
    <t>TECNICAS CONSTRUCTIVAS Y REPRESENTACIONE S SAC</t>
  </si>
  <si>
    <t>SERVICIO ELECTRICO MARIN EIRL</t>
  </si>
  <si>
    <t>CCACYAVILCA ALVAREZ LUCIA</t>
  </si>
  <si>
    <t>ANDIA RIVERA ROXANA</t>
  </si>
  <si>
    <t>CHIMBOTE CORP SAC</t>
  </si>
  <si>
    <t>CCAHUAYA BAEZ SONIA CELIA</t>
  </si>
  <si>
    <t>COMERCIALIZADORA &amp; SERVICIOS ESPERANZA G REEN EIRL</t>
  </si>
  <si>
    <t>PUYO LOPEZ TERESA</t>
  </si>
  <si>
    <t>DEPOSITO MELYSA EIRL</t>
  </si>
  <si>
    <t>PANDURO VARGAS MIGUEL</t>
  </si>
  <si>
    <t>LIMA QUILLI VICTOR APARICIO</t>
  </si>
  <si>
    <t>MERQUITEX SAC</t>
  </si>
  <si>
    <t>INVERSIONES F &amp; J SAC</t>
  </si>
  <si>
    <t>RICARLEX EIRL</t>
  </si>
  <si>
    <t>C &amp; R ECOCLEAN MULTISERVICIOS SAC</t>
  </si>
  <si>
    <t>BISUTERRA SAC</t>
  </si>
  <si>
    <t>CCANSAYA PUMA WILLIAN</t>
  </si>
  <si>
    <t>ALVITES VILLANUEVA PARLE AMERICA</t>
  </si>
  <si>
    <t>QUISPE SARCCO SANTUSA</t>
  </si>
  <si>
    <t>PANIURA GUTIERREZ ISAAC PAUL</t>
  </si>
  <si>
    <t>JUGUERIA TUTTI FRUTTI EIRL</t>
  </si>
  <si>
    <t>MONRUA EIRL</t>
  </si>
  <si>
    <t>SAMANIEGO TIZA YACKLELYN MIRIAM</t>
  </si>
  <si>
    <t>INVERSIONES PUNTO DIGITAL EIRL</t>
  </si>
  <si>
    <t>INVERSIONES Y REPRESENTACIONES ANGGIE SA C</t>
  </si>
  <si>
    <t>UNOC YNGA TEODORA</t>
  </si>
  <si>
    <t>VERSUS TRADING SAC</t>
  </si>
  <si>
    <t>DISTRIBUIDORA NARANJITO SAC</t>
  </si>
  <si>
    <t>SALLUCA MAMANI NELSON FERNANDO</t>
  </si>
  <si>
    <t>MEDRANO CORDOVA PAULINO MARCIAL</t>
  </si>
  <si>
    <t>NOLASCO GUTIERREZ ROSA MARIA</t>
  </si>
  <si>
    <t>SALAZAR LAZARTE JUAN LUIS</t>
  </si>
  <si>
    <t>CABRERA GUEVARA MARIA SILVIA</t>
  </si>
  <si>
    <t>JINEZ JINEZ MARGARITA CRISTINA</t>
  </si>
  <si>
    <t>ALVAREZ PONCE GUADALUPE</t>
  </si>
  <si>
    <t>RIVERA AGURTO LUZ NERY</t>
  </si>
  <si>
    <t>STYLO LIPA SAC</t>
  </si>
  <si>
    <t>NEGOCIO DIDO EIRL</t>
  </si>
  <si>
    <t>RAMOS CHUNGUE ERIKA</t>
  </si>
  <si>
    <t>NEGOCIOS EL CHAMBERITO SAC</t>
  </si>
  <si>
    <t>ENRIQUEZ ASENJO LUIS ALBERTO</t>
  </si>
  <si>
    <t>LEON GALIANO WENCESLAO JAVIER</t>
  </si>
  <si>
    <t>PARDO RAMOS ELIZABETH ROCIO</t>
  </si>
  <si>
    <t>ALANYA SAMANIEGO LOLA BLANCA</t>
  </si>
  <si>
    <t>DISTRIBUIDORA Y SERVICIOS JT EIRL</t>
  </si>
  <si>
    <t>ASTOVILCA FLORES TEOFILA FELIPA</t>
  </si>
  <si>
    <t>MENEZ SOLIS JANET ROXANA</t>
  </si>
  <si>
    <t>CREACIONES DUSSELDORF SAC</t>
  </si>
  <si>
    <t>COMPA¿IA NACIONAL DE COMERCIOS EXTERIORE S EIRL</t>
  </si>
  <si>
    <t>CASTILLA BEJAR GERSON</t>
  </si>
  <si>
    <t>ALDERETE YALI OSCAR</t>
  </si>
  <si>
    <t>AGUILAR RAMOS MARITZA</t>
  </si>
  <si>
    <t>JOYERIA RELOJERIA ANDREA SRL</t>
  </si>
  <si>
    <t>ARBULU AYALA GISSELA DEL CARMEN</t>
  </si>
  <si>
    <t>RUIZ CIEZA NELLY</t>
  </si>
  <si>
    <t>AZUCARES PIURANOS EIRL</t>
  </si>
  <si>
    <t>SALAZAR LOPEZ TATIANE ELIZABETH</t>
  </si>
  <si>
    <t>ROMERO TOLEDO FREDDY BALTAZAR</t>
  </si>
  <si>
    <t>TALLERES PEREZ ASSEO EIRL</t>
  </si>
  <si>
    <t>LLANOS CUBAS MARLENI</t>
  </si>
  <si>
    <t>IQUIAPAZA CASO ELVA SERAFINA</t>
  </si>
  <si>
    <t>INGENIERIA METALMECANICA SELVA SAC</t>
  </si>
  <si>
    <t>GRAFICA INDUSTRIAL FENIX SAC</t>
  </si>
  <si>
    <t>PROVISEL SCRL</t>
  </si>
  <si>
    <t>AYCACHI HUARACHE JUAN GRACIO BENITO</t>
  </si>
  <si>
    <t>INVERSIONES RENTABLES SAC</t>
  </si>
  <si>
    <t>NEGOCIACIONES DOMAVIC SAC</t>
  </si>
  <si>
    <t>CORPORACION PAPELERA EL SOL SCRL</t>
  </si>
  <si>
    <t>HUAYAPA HUAJA AQUILINA</t>
  </si>
  <si>
    <t>RS FEMMES SAC</t>
  </si>
  <si>
    <t>EL FORASTERO POLLOS  A LA BRASA Y PARRILL AS SAC</t>
  </si>
  <si>
    <t>ZAVALA SANTIAGO ALEJANDRO PRIMITIVO</t>
  </si>
  <si>
    <t>MADECAF PERU SAC</t>
  </si>
  <si>
    <t>DISTRIBUCIONES ARUNICE SAC</t>
  </si>
  <si>
    <t>HIDRONORTE SRL</t>
  </si>
  <si>
    <t>MENDOZA MIGUEL JORGE LUIS</t>
  </si>
  <si>
    <t>SIGNAAL INDUSTRIAL SAC</t>
  </si>
  <si>
    <t>DISCOPLAST SAC</t>
  </si>
  <si>
    <t>CORPORACION GUILLEN  SAC</t>
  </si>
  <si>
    <t>VERA DELGADO JAIME</t>
  </si>
  <si>
    <t>ORTIZ VELAZQUE GLICERIO GELY</t>
  </si>
  <si>
    <t>PLACACENTRO SAN FRANCISCO EIRL</t>
  </si>
  <si>
    <t>G &amp; Y PAINTS SAC</t>
  </si>
  <si>
    <t>CERRON MENDIETA CELSA</t>
  </si>
  <si>
    <t>FLOWERS ADMINISTRADORA DE EDIFICIOS EIRL</t>
  </si>
  <si>
    <t>URBAY WONG WALTER TONINHO</t>
  </si>
  <si>
    <t>PROSIMET SRL</t>
  </si>
  <si>
    <t>MONTES MARQUEZ RAUL JESUS</t>
  </si>
  <si>
    <t>ALVARADO CORREA REYNALDO</t>
  </si>
  <si>
    <t>LEONARDO ZELA VICTORIA MARLENE</t>
  </si>
  <si>
    <t>LORENZO CAMPOS RUVILA MAGALIA</t>
  </si>
  <si>
    <t>COMERCIAL CLAVITO SAC</t>
  </si>
  <si>
    <t>PERNOS ACERADOS EIRL</t>
  </si>
  <si>
    <t>SILGUERA PALOMINO RUBEN EDGAR</t>
  </si>
  <si>
    <t>AGUIRRE PEREZ MERCEDES</t>
  </si>
  <si>
    <t>CRUZ ARTEAGA JUAN MANUEL</t>
  </si>
  <si>
    <t>GRUPO CASSINELLI SRL</t>
  </si>
  <si>
    <t>GOMEZ SOSA VICTOR ISAAC</t>
  </si>
  <si>
    <t>CASA DEL FOLKLORE NORMA SAC</t>
  </si>
  <si>
    <t>NEGOCIOS MULTIPLES FABRI MILENIUM EIRL</t>
  </si>
  <si>
    <t>BLANCO CARUAJULCA BERTILA</t>
  </si>
  <si>
    <t>SURCO AROSQUIPA LEONIDAS</t>
  </si>
  <si>
    <t>HUAYTA QUISPE HILDA YOLANDA</t>
  </si>
  <si>
    <t>ANAYA PERALTA YURI ENRIQUE</t>
  </si>
  <si>
    <t>ISIDRO GARCIA NEUMANN HUGO</t>
  </si>
  <si>
    <t>GAMARRA PACHECO ARACELI DEL ROSARIO</t>
  </si>
  <si>
    <t>HUAMAN HUACCHUA MARITZA ELIZABETH</t>
  </si>
  <si>
    <t>INVERSIONES TURISTICAS LIBERTAD SAC</t>
  </si>
  <si>
    <t>INVERSIONES YOLIED SAC</t>
  </si>
  <si>
    <t>MAKACO SAC</t>
  </si>
  <si>
    <t>A CERNA IMPORT SAC</t>
  </si>
  <si>
    <t>NUÑEZ PARIONA MERY JESSICA</t>
  </si>
  <si>
    <t>GRUPO VASSA SAC</t>
  </si>
  <si>
    <t>PEÑA HINOJOSA YOBANA JUSTINA</t>
  </si>
  <si>
    <t>HUANCA HUANCA JUANA MARCELINA</t>
  </si>
  <si>
    <t>LOPEZ GARCIA IVAN ELVIS</t>
  </si>
  <si>
    <t>HUACHILLO MARTEL MILTON CHRISTIAN</t>
  </si>
  <si>
    <t>PAJARES VIGO ELVIA</t>
  </si>
  <si>
    <t>ARAPA SALAS CARMEN LUZ</t>
  </si>
  <si>
    <t>POLIPLAST PERU SRL</t>
  </si>
  <si>
    <t>BALDEON SANCHEZ ERNESTINA</t>
  </si>
  <si>
    <t>EXPORTACIONES MARGON FRUIT EIRL</t>
  </si>
  <si>
    <t>BELLIDO ESTRADA ELEUTERIO CIRIACO</t>
  </si>
  <si>
    <t>LAURA VILCA LUZ MARINA</t>
  </si>
  <si>
    <t>DISTRIBUIDORA MARGARITA SAN MARTIN SAC</t>
  </si>
  <si>
    <t>CREACIONES KLEIDER EIRL</t>
  </si>
  <si>
    <t>RAMOS ESTRADA VICTOR</t>
  </si>
  <si>
    <t>NINAQUISPE LAUREANO VICTOR FELIX</t>
  </si>
  <si>
    <t>ACCESORIOS SEMATEX EIRL</t>
  </si>
  <si>
    <t>ALVARADO VASQUEZ ALEXANDER</t>
  </si>
  <si>
    <t>HUANCA CHOQUE JOSE LUIS</t>
  </si>
  <si>
    <t>CRUZ CHALLCO NORMA</t>
  </si>
  <si>
    <t>JMC RACING SAC</t>
  </si>
  <si>
    <t>ADHECAST SAC</t>
  </si>
  <si>
    <t>HOCHI IMPORT AND EXPORT SAC</t>
  </si>
  <si>
    <t>IMPORT AYMET AR SAC</t>
  </si>
  <si>
    <t>GIOVISS EIRL</t>
  </si>
  <si>
    <t>PALOMINO SOTO YESSENIA</t>
  </si>
  <si>
    <t>CIRINEO VASQUEZ JAVIER CESAR</t>
  </si>
  <si>
    <t>CORPORACION VROMERO  SAC</t>
  </si>
  <si>
    <t>SUCACAHUA PACORI DIEGO</t>
  </si>
  <si>
    <t>CALDERON GURREONERO ELEODORO DAVID</t>
  </si>
  <si>
    <t>PLAZARTE ALEJANDRO LEONOR BLANCA</t>
  </si>
  <si>
    <t>KREA ILUSIONES LMA EIRL</t>
  </si>
  <si>
    <t>MORBACH PERU SAC</t>
  </si>
  <si>
    <t>MATEOS LOAIZA LUZ MARIA</t>
  </si>
  <si>
    <t>RICRA PILCO MARIBEL</t>
  </si>
  <si>
    <t>PINEDO NAVARRO ELISEO</t>
  </si>
  <si>
    <t>GRUPO DAVEST SAC</t>
  </si>
  <si>
    <t>HUANCA RAMOS SEBASTIAN</t>
  </si>
  <si>
    <t>CONDORI PERALTA ALEX</t>
  </si>
  <si>
    <t>CASTRO QUINTANA NOEMI EUGENIA</t>
  </si>
  <si>
    <t>MIROVIC EIRL</t>
  </si>
  <si>
    <t>INVERSIONES MUNDO DE COLORES SAC</t>
  </si>
  <si>
    <t>REALMEDIC IMPORT SAC</t>
  </si>
  <si>
    <t>PILCO CHACHAQUE ANGELINO</t>
  </si>
  <si>
    <t>HUAMAN GARCIA REYNALDO TEOFILO</t>
  </si>
  <si>
    <t>G&amp;D SYSTEM TECHNOLOGY SAC</t>
  </si>
  <si>
    <t>GRUPO INMOBILIARIO HOME PLUS SAC</t>
  </si>
  <si>
    <t>AMBIENTES LIMPIOS SAC</t>
  </si>
  <si>
    <t>CORPORACION JHD EIRL</t>
  </si>
  <si>
    <t>VICHAYO RESTOBAR EIRL</t>
  </si>
  <si>
    <t>HONGXING SAC</t>
  </si>
  <si>
    <t>FLORES GARAY DILMER</t>
  </si>
  <si>
    <t>APONTE OBREGON CAROLINA</t>
  </si>
  <si>
    <t>DAMIAN DE BENITES SIMONA</t>
  </si>
  <si>
    <t>PALANTE CRISPIN HUGO FERNANDO</t>
  </si>
  <si>
    <t>CACERES MUÑOZ VICENTINA</t>
  </si>
  <si>
    <t>MOGROVEJO FERATA ANGEL</t>
  </si>
  <si>
    <t>CORPORACION SADCITEC SAC</t>
  </si>
  <si>
    <t>OSITOS FREDY EIRL</t>
  </si>
  <si>
    <t>CUEVAS HUAMANI MELISSA FLORA</t>
  </si>
  <si>
    <t>NAVARRO CHIPANA MIRIAM</t>
  </si>
  <si>
    <t>IMPROVENG SRL</t>
  </si>
  <si>
    <t>MULTISERVICIOS SAN LORENZO SAC</t>
  </si>
  <si>
    <t>SILVA TUYA GALYA INGRID</t>
  </si>
  <si>
    <t>PEREZ TRUJILLO AGREPINA GUICELA</t>
  </si>
  <si>
    <t>CARRION LOPEZ VICTOR CECILIO</t>
  </si>
  <si>
    <t>INVERSIONES TURISTICAS EL PERICO EIRL</t>
  </si>
  <si>
    <t>RAMON ROJAS TOMAS SELMER</t>
  </si>
  <si>
    <t>GUTIERREZ RIVERA ALBERTO</t>
  </si>
  <si>
    <t>MORA OLAVE FRANCISCA YOLANDA</t>
  </si>
  <si>
    <t>LUNA GALARZA DALILA DOMINGA</t>
  </si>
  <si>
    <t>INKA GRAPHICS EIRL</t>
  </si>
  <si>
    <t>ALBERCO PEREZ JOSE ZENON</t>
  </si>
  <si>
    <t>KERRY ROMAYNA JULIETA</t>
  </si>
  <si>
    <t>LERMA FLORES PEDRO PABLO</t>
  </si>
  <si>
    <t>MACE DISTRIBUIDORES  SAC</t>
  </si>
  <si>
    <t>INVERSIONES JMEDALIT EIRL</t>
  </si>
  <si>
    <t>ARIAS CALLA DAVID</t>
  </si>
  <si>
    <t>BLANCO PILLCO DE DAVIS ROSA ÑANTIKA</t>
  </si>
  <si>
    <t>MENDOZA VILCA JAVIER CARLOS</t>
  </si>
  <si>
    <t>JAIMES CASTRO JUSTO GERMAN</t>
  </si>
  <si>
    <t>CACHICATARI TINTAYA EDGAR RUBEN</t>
  </si>
  <si>
    <t>INDIMOD EIRL</t>
  </si>
  <si>
    <t>PROVEEDORES CALDERON EIRL</t>
  </si>
  <si>
    <t>DAMAXCO SAC</t>
  </si>
  <si>
    <t>INVERSIONES DIA VEN  EIRL</t>
  </si>
  <si>
    <t>CORPORACION CONTEX SAC</t>
  </si>
  <si>
    <t>IMPORTACIONES ORO BLANCO EIRL</t>
  </si>
  <si>
    <t>AREVALO VELASQUEZ ZULY JICELY</t>
  </si>
  <si>
    <t>FLORES CONDORI ROLANDO</t>
  </si>
  <si>
    <t>QUISPE VALENCIA TOMAS</t>
  </si>
  <si>
    <t>ORE HINOJOSA HECTOR</t>
  </si>
  <si>
    <t>HUAMAN GASPAR HERLINDA</t>
  </si>
  <si>
    <t>ANGULO CARRION JUAN CARLOS</t>
  </si>
  <si>
    <t>COVEÑAS RAMOS AUGUSTO</t>
  </si>
  <si>
    <t>MURRUGARRA RODRIGUEZ ADAN MANUEL</t>
  </si>
  <si>
    <t>MALDONADO MARTINEZ LUIS DANIEL</t>
  </si>
  <si>
    <t>CREACIONES SUE¿ITOS  PERU EIRL</t>
  </si>
  <si>
    <t>EL MADERO SERVICIOS  GENERALES EIRL</t>
  </si>
  <si>
    <t>VICENTE ZACARIAS ALFREDO RUBEN</t>
  </si>
  <si>
    <t>QUISPE ESPINOZA JOSE LUIS</t>
  </si>
  <si>
    <t>HERREROS MAMANI HUGO CACIANO</t>
  </si>
  <si>
    <t>SAAVEDRA VASQUEZ DORALIZA</t>
  </si>
  <si>
    <t>DIAZ PEREZ YOMER JAMER</t>
  </si>
  <si>
    <t>RIVAS RAMOS GASPAR</t>
  </si>
  <si>
    <t>RADA SANCHEZ WILMER</t>
  </si>
  <si>
    <t>QUEZADA MAURICIO LUCIA</t>
  </si>
  <si>
    <t>VETERINARIA ANIMALANDIA EIRL</t>
  </si>
  <si>
    <t>INVERSIONES KLTO G EIRL</t>
  </si>
  <si>
    <t>LLAURE PEREZ CHARO EMELDA</t>
  </si>
  <si>
    <t>ALVAREZ HUARHUA FLOR ELIZABETH</t>
  </si>
  <si>
    <t>VILLAFUERTE GONZALEZ CHOY INES MERCEDES</t>
  </si>
  <si>
    <t>INVERSIONES DOFRAMA  EIRL</t>
  </si>
  <si>
    <t>MEDIABYTE SAC</t>
  </si>
  <si>
    <t>RODRIGUEZ AQUINO ENMA EUFEMIA</t>
  </si>
  <si>
    <t>QUISPE COLQUE ROSANGELA NURY</t>
  </si>
  <si>
    <t>FOTOCOPIADORAS GROUP SAC</t>
  </si>
  <si>
    <t>VILLEGAS PAISIG ROSITA</t>
  </si>
  <si>
    <t>SANCHEZ CAMARGO VICTORIA LOURDES</t>
  </si>
  <si>
    <t>MYJARU COMERCIALIZADORA EIRL</t>
  </si>
  <si>
    <t>TAMBINE NOA AUGUSTO</t>
  </si>
  <si>
    <t>CORPORACION KREC SAC</t>
  </si>
  <si>
    <t>CHURASI SANTARIA LUISA GONZALINA</t>
  </si>
  <si>
    <t>MUCHAYPIÑA TABOADA LUIS ALBERTO</t>
  </si>
  <si>
    <t>FRANSER CAR &amp; TRUCK  SAC</t>
  </si>
  <si>
    <t>QUISPE APAZA INOSENCIA PASTORA</t>
  </si>
  <si>
    <t>SANCHEZ QUISPE JORGE</t>
  </si>
  <si>
    <t>MONZON CHACON ESTEBAN OCTAVIO</t>
  </si>
  <si>
    <t>CHAVEZ ECHARRI DARIO</t>
  </si>
  <si>
    <t>LA TORRE ORE EDDY RODOLFO</t>
  </si>
  <si>
    <t>CORPORACION CHELVIS  EIRL</t>
  </si>
  <si>
    <t>VIOLETA CARDENAS ANTONIA REYNALDA</t>
  </si>
  <si>
    <t>CORDOVA DE SANTAMARIA LILIANA TELESFORA</t>
  </si>
  <si>
    <t>INVERSIONES FORESTALES LIBRA SAC</t>
  </si>
  <si>
    <t>BRE CONVERSIONES GNV</t>
  </si>
  <si>
    <t>RODRIGUEZ ZAVALETA ALEXANDER</t>
  </si>
  <si>
    <t>VASQUEZ MALCA CESAR AUGUSTO</t>
  </si>
  <si>
    <t>PEYTHON MODA SAC</t>
  </si>
  <si>
    <t>INVERSIONES TURISTICAS Y HOTELERIA SAC</t>
  </si>
  <si>
    <t>FACTORIA LA MILLA SRL</t>
  </si>
  <si>
    <t>VERGARAY PAULINO ANAVEL SORAIDA</t>
  </si>
  <si>
    <t>LLANOS PACO JENNY LAURA</t>
  </si>
  <si>
    <t>CCAHUANTICO CCAHUANTICO RICARDO</t>
  </si>
  <si>
    <t>RAMOS CUSI AMELIO RUFINO</t>
  </si>
  <si>
    <t>AGUIRRE PACHECO LUCIO</t>
  </si>
  <si>
    <t>GUERRERO ROJAS SEGUNDO VICTOR</t>
  </si>
  <si>
    <t>CANAZA CONDORI MIGUEL</t>
  </si>
  <si>
    <t>HUAMAN CORDERO BETTY EMILIA</t>
  </si>
  <si>
    <t>PURIHUAMAN MANAYALLE SARITA VERONICA</t>
  </si>
  <si>
    <t>INDUSTRIA CARDUCCI SAC</t>
  </si>
  <si>
    <t>CORDOVA GIRON TEODORO</t>
  </si>
  <si>
    <t>SILVA LUQUE DE DIAZ ZOILITA MARILU</t>
  </si>
  <si>
    <t>PEREZ ALTAMIRANO JULISSA MILAGROS</t>
  </si>
  <si>
    <t>PEREJIL AZUL SOCIEDAD ANONIMA CERRADA</t>
  </si>
  <si>
    <t>MIJA LLACSAHUACHE DE JAHU HERLINDA</t>
  </si>
  <si>
    <t>PEREZ CARMEN JOSE</t>
  </si>
  <si>
    <t>SOLORZANO RODRIGUEZ JORGE LUIS</t>
  </si>
  <si>
    <t>MARSHAM RETAIL SAC</t>
  </si>
  <si>
    <t>INVERSIONES PATMIR SAC</t>
  </si>
  <si>
    <t>EMBRAGUES GILO LEON  SRL</t>
  </si>
  <si>
    <t>COPARA CHURA CRISTIAN OSWALDO</t>
  </si>
  <si>
    <t>FERRUA ARROYO CARLOS</t>
  </si>
  <si>
    <t>IPM SERVICIOS SRL</t>
  </si>
  <si>
    <t>ALVITEZ CERNA JESUS ELICEO</t>
  </si>
  <si>
    <t>ZELA SUTTI SAMUEL APARICIO</t>
  </si>
  <si>
    <t>SALAMANCA MAMANI EMERITA</t>
  </si>
  <si>
    <t>VARGASMACHUCA ROJAS TOMAS IQUIQUE</t>
  </si>
  <si>
    <t>GLOBAL QUIMICA SAC</t>
  </si>
  <si>
    <t>CORTEZ CAMPOS AZAEL</t>
  </si>
  <si>
    <t>CORNEJO ZAPATA ALBERTO MARTIN</t>
  </si>
  <si>
    <t>KAMIKE SPORT SAC</t>
  </si>
  <si>
    <t>OCAÑA PAJUELO YSAIAS ADAN</t>
  </si>
  <si>
    <t>SCANER SAC</t>
  </si>
  <si>
    <t>LARICO CONDORI HEDDY DIANES</t>
  </si>
  <si>
    <t>VALERIA#S CHICKENS AND GRILL EIRL</t>
  </si>
  <si>
    <t>FERNANDEZ TTITO EULOGIO</t>
  </si>
  <si>
    <t>CASAS REYNA MIRIAM LUZ</t>
  </si>
  <si>
    <t>INVERSIONES COSDA EIRL</t>
  </si>
  <si>
    <t>CACERES CRUZ AURELIA</t>
  </si>
  <si>
    <t>DAMIAN PAUCAR ALEJANDRO</t>
  </si>
  <si>
    <t>GONZALES TAPIA ROXANI</t>
  </si>
  <si>
    <t>GUTIERREZ FLORES ISABEL</t>
  </si>
  <si>
    <t>PORLLES REYES WALDO</t>
  </si>
  <si>
    <t>ESPINOZA GONZALES LOLA</t>
  </si>
  <si>
    <t>COMERCIAL JESHUA &amp; GUADALUPE SAC</t>
  </si>
  <si>
    <t>HOSTAL PARAISO AZUL  SAC</t>
  </si>
  <si>
    <t>CONSORCIO J &amp; N SAC</t>
  </si>
  <si>
    <t>LOPEZ EIRL</t>
  </si>
  <si>
    <t>CHAVEZ QUISPE NOEMI</t>
  </si>
  <si>
    <t>MELENDEZ &amp; FRATELLI  SERVICIOS GENERAL SA C</t>
  </si>
  <si>
    <t>RAMON TOMAIRO FIORELA ALICIA</t>
  </si>
  <si>
    <t>CORPORACION TIMALCO  SAC</t>
  </si>
  <si>
    <t>ARONE AGUADO CASSIUS FREDY</t>
  </si>
  <si>
    <t>QUISPE YUPANQUI EMILIA MARGARITA</t>
  </si>
  <si>
    <t>MADERERA Y SERVICIOS ALCANTARA EIRL</t>
  </si>
  <si>
    <t>HERRERA CONDORI BRENDA HELEN</t>
  </si>
  <si>
    <t>INCOSUR COMPANY C&amp;M  SAC</t>
  </si>
  <si>
    <t>DISTRIBUIDORA E IMPORTADORA FARMACEUTICA  SAC</t>
  </si>
  <si>
    <t>EXCLUSIVIDADES PERSA SAC</t>
  </si>
  <si>
    <t>LAVADO QUINTANA ADILBERTA NELLY</t>
  </si>
  <si>
    <t>TANGOA CARTAGENA LINA VICTORIA</t>
  </si>
  <si>
    <t>ARAUCO JULCA CAROL JOVANNY</t>
  </si>
  <si>
    <t>RODAS SUCA AURELIO</t>
  </si>
  <si>
    <t>CHUPURGO TORRES MAYRA STEFANY</t>
  </si>
  <si>
    <t>A Y O CONTRATISTA SAC</t>
  </si>
  <si>
    <t>BAKING SERVICE SRL</t>
  </si>
  <si>
    <t>A&amp;G CONSULTORES DE NEGOCIOS SAC</t>
  </si>
  <si>
    <t>INCACUTIPA VIDAL JAIME</t>
  </si>
  <si>
    <t>AVANTECH GROUP EIRL</t>
  </si>
  <si>
    <t>S &amp; Q INVERSIONES GENERALES SOCIEDAD ANO NIMA CERRADA</t>
  </si>
  <si>
    <t>CONTROL REMOTO SERVITEC SAC</t>
  </si>
  <si>
    <t>VILLANUEVA REYNA PERCY ROBERT</t>
  </si>
  <si>
    <t>PACUMBIA QUISPE ANA MARIA</t>
  </si>
  <si>
    <t>GUADALUPE PACHECO CIRILO FIDEL</t>
  </si>
  <si>
    <t>INGECORP PERU SAC</t>
  </si>
  <si>
    <t>TRANSCAR DIVINO SR JESUS SAC</t>
  </si>
  <si>
    <t>VASQUEZ TORRES WILLAM</t>
  </si>
  <si>
    <t>HOGAR ARTEFACTOS DEL ORIENTE EIRL</t>
  </si>
  <si>
    <t>MUÑOZ HIDALGO MARCELINO</t>
  </si>
  <si>
    <t>ENRIQUEZ HUAMAN EDGAR MAXIMO</t>
  </si>
  <si>
    <t>FRANQUICIAS E INVERSIONES RENTABLES SAC</t>
  </si>
  <si>
    <t>REPUESTOS E IMPORTACIONES HUANCAYO SAC</t>
  </si>
  <si>
    <t>LUNA BOCANGEL ADOLFO</t>
  </si>
  <si>
    <t>SAYRI FLORES YOLA MARUJA</t>
  </si>
  <si>
    <t>LEON ALEGRIA PUBLIO</t>
  </si>
  <si>
    <t>GUERRERO JULCA GUILLERMO</t>
  </si>
  <si>
    <t>CUSIATADO AGUILAR MARGOT</t>
  </si>
  <si>
    <t>CRUZ VALDERRAMA WALTER</t>
  </si>
  <si>
    <t>RONCAL MIRANDA DE SALVATIERRA JOSEFINA MARLENI</t>
  </si>
  <si>
    <t>ILLANES GUZMAN MARIO EDUARDO</t>
  </si>
  <si>
    <t>VIERA GUTIERREZ LISBETH</t>
  </si>
  <si>
    <t>LANGUASCO HERNANDEZ GIOVANNI FRANCESCO</t>
  </si>
  <si>
    <t>INVERSIONES TAUROMEX SAC</t>
  </si>
  <si>
    <t>LOPEZ CACERES CATALINA VICTORIA</t>
  </si>
  <si>
    <t>YARLEQUE VIERA YOLANDA</t>
  </si>
  <si>
    <t>DISTRIBUIDORA DE GAS VILCHEZ EIRL</t>
  </si>
  <si>
    <t>CREACIONES LUANA EIRL</t>
  </si>
  <si>
    <t>CORPORACION LAU 88 SAC</t>
  </si>
  <si>
    <t>GUTIERREZ GUZMAN ANATALI MAVILA</t>
  </si>
  <si>
    <t>CONDO GARCIA NESTOR ANTONIO</t>
  </si>
  <si>
    <t>MEZA CHAUPIS MARIA ALBERTINA</t>
  </si>
  <si>
    <t>RECTIFICACIONES DAVID SAC</t>
  </si>
  <si>
    <t>HUAMAN REYES SABINA</t>
  </si>
  <si>
    <t>ASIR DC EIRL</t>
  </si>
  <si>
    <t>NUTRIFERZA SRL</t>
  </si>
  <si>
    <t>SOLIS SEDANO ANDRESITO NICANOR</t>
  </si>
  <si>
    <t>CENTRO MEDICO ESPECIALIZADO LAB SALUD SA C</t>
  </si>
  <si>
    <t>INVERSIONES BEATRIZ  MARGARITA SAC</t>
  </si>
  <si>
    <t>SALDAÑA SEGURA JOSE VALENTIN</t>
  </si>
  <si>
    <t>A&amp;A CONSTRUCCIONES EIRL</t>
  </si>
  <si>
    <t>INVERSIONES BRITEC EIRL</t>
  </si>
  <si>
    <t>MOTOPARTES FOX SAC</t>
  </si>
  <si>
    <t>ORGANIX PERU SAC</t>
  </si>
  <si>
    <t>SANCHEZ SANCHEZ GLADIS SIMONA</t>
  </si>
  <si>
    <t>RODRIGUEZ CASTILLO AZUCENA LIVIA</t>
  </si>
  <si>
    <t>MACHACUAY MOSQUERA SIMEON ERASMO</t>
  </si>
  <si>
    <t>INVERSIONES ARGOS SRL</t>
  </si>
  <si>
    <t>SOLANO CRUZ SANTOS JOAQUIN</t>
  </si>
  <si>
    <t>LUJAN GUILLEN OLGER ROLANDO</t>
  </si>
  <si>
    <t>COMERCIAL TEXTIL VASQUEZ SRL</t>
  </si>
  <si>
    <t>SUAREZ AREVALO CARLOS ALBERTO</t>
  </si>
  <si>
    <t>FELIPA VENTURA JANETT GERALDINE</t>
  </si>
  <si>
    <t>MI ROPA LATINA EIRL</t>
  </si>
  <si>
    <t>INVERSIONES &amp; SERVICIOS MULTIPLES COQUIT O SAC</t>
  </si>
  <si>
    <t>QUIO USCAMAYTA CESAR FELIPE</t>
  </si>
  <si>
    <t>ASTETE QUISPE JORGE</t>
  </si>
  <si>
    <t>PEÑA ROMAN CARMEN ROSARIO</t>
  </si>
  <si>
    <t>INMOBILIARIA Y CONSTRUCTORA GAVE SAC</t>
  </si>
  <si>
    <t>EQUIPAR R &amp; J SAC</t>
  </si>
  <si>
    <t>SOTO DOSANTOS RIDER</t>
  </si>
  <si>
    <t>EVELDAY MAPECO SAC</t>
  </si>
  <si>
    <t>ALEATORIO</t>
  </si>
  <si>
    <t>Selección de muestra con muestreo aleatorio simple</t>
  </si>
  <si>
    <r>
      <rPr>
        <sz val="11"/>
        <rFont val="Calibri"/>
      </rPr>
      <t xml:space="preserve">Variable guía: </t>
    </r>
    <r>
      <rPr>
        <color rgb="FFFF0000"/>
        <sz val="11"/>
        <rFont val="Calibri"/>
      </rPr>
      <t>Empresas que están de acuerdo con el nuevo impuesto</t>
    </r>
  </si>
  <si>
    <t>Se utiliza el mayor tamaño calculado entre la pregunta 1 y la pregunta 2.</t>
  </si>
  <si>
    <t>Selección de la muestra</t>
  </si>
  <si>
    <t>N°</t>
  </si>
  <si>
    <t>Selección de muestra con muestreo sistemático</t>
  </si>
  <si>
    <t>Intervalo de selección</t>
  </si>
  <si>
    <t>k =</t>
  </si>
  <si>
    <t>Arranque aleatorio</t>
  </si>
  <si>
    <t>r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</si>
</sst>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0.000000"/>
  </numFmts>
  <fonts count="15" x14ac:knownFonts="1">
    <font>
      <color theme="1"/>
      <family val="2"/>
      <scheme val="minor"/>
      <sz val="11"/>
      <name val="Calibri"/>
    </font>
    <font>
      <b/>
      <sz val="18"/>
      <name val="Calibri"/>
    </font>
    <font>
      <color rgb="FF333333"/>
      <family val="2"/>
      <sz val="10"/>
      <name val="Arial"/>
    </font>
    <font>
      <b/>
      <i/>
      <color rgb="FFFF0000"/>
      <sz val="12"/>
      <name val="Calibri"/>
    </font>
    <font>
      <sz val="11"/>
      <name val="Calibri"/>
    </font>
    <font>
      <b/>
      <sz val="11"/>
      <name val="Calibri"/>
    </font>
    <font>
      <i/>
      <sz val="10"/>
      <name val="Calibri"/>
    </font>
    <font>
      <b/>
      <color rgb="FFFF0000"/>
      <sz val="11"/>
      <name val="Calibri"/>
    </font>
    <font>
      <i/>
      <color theme="1"/>
      <family val="2"/>
      <scheme val="minor"/>
      <sz val="11"/>
      <name val="Calibri"/>
    </font>
    <font>
      <b/>
      <i/>
      <color theme="1"/>
      <family val="2"/>
      <sz val="11"/>
      <name val="Calibri"/>
    </font>
    <font>
      <b/>
      <i/>
      <color theme="1"/>
      <family val="2"/>
      <scheme val="minor"/>
      <sz val="11"/>
      <name val="Calibri"/>
    </font>
    <font>
      <b/>
      <color rgb="FF000000"/>
      <sz val="11"/>
      <name val="Calibri"/>
    </font>
    <font>
      <b/>
      <sz val="13"/>
      <name val="Calibri"/>
    </font>
    <font>
      <b/>
      <i/>
      <sz val="11"/>
      <name val="Calibri"/>
    </font>
    <font>
      <color rgb="FFFF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4B18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/>
    <xf numFmtId="1" fontId="7" fillId="3" borderId="1" xfId="0" applyNumberFormat="1" applyFont="1" applyFill="1" applyBorder="1"/>
    <xf numFmtId="0" fontId="8" fillId="0" borderId="0" xfId="0" applyFont="1"/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2" xfId="0" applyFont="1" applyBorder="1" applyAlignment="1">
      <alignment horizontal="center"/>
    </xf>
    <xf numFmtId="0" fontId="0" fillId="0" borderId="3" xfId="0" applyBorder="1"/>
    <xf numFmtId="0" fontId="11" fillId="4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13" fillId="0" borderId="0" xfId="0" applyFont="1"/>
    <xf numFmtId="0" fontId="1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3" borderId="1" xfId="0" applyNumberFormat="1" applyFill="1" applyBorder="1"/>
    <xf numFmtId="0" fontId="5" fillId="6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7"/>
  <sheetViews>
    <sheetView workbookViewId="0" zoomScale="115" zoomScaleNormal="115">
      <selection activeCell="B24" sqref="B24"/>
    </sheetView>
  </sheetViews>
  <sheetFormatPr defaultRowHeight="15" outlineLevelRow="0" outlineLevelCol="0" x14ac:dyDescent="0.25"/>
  <cols>
    <col min="1" max="1" width="6.28515625" customWidth="1"/>
    <col min="2" max="2" width="43" customWidth="1"/>
    <col min="3" max="3" width="18.5703125" customWidth="1"/>
    <col min="4" max="4" width="11.85546875" customWidth="1"/>
    <col min="5" max="5" width="38.7109375" customWidth="1"/>
    <col min="6" max="6" width="17.42578125" customWidth="1"/>
    <col min="7" max="7" width="19.28515625" customWidth="1"/>
  </cols>
  <sheetData>
    <row r="1" spans="1:4" s="22" customFormat="1" x14ac:dyDescent="0.25">
      <c r="A1" s="23" t="s">
        <v>34</v>
      </c>
      <c r="B1" s="23" t="s">
        <v>35</v>
      </c>
      <c r="C1" s="23" t="s">
        <v>36</v>
      </c>
      <c r="D1" s="23"/>
    </row>
    <row r="2" spans="1:3" x14ac:dyDescent="0.25">
      <c r="A2">
        <v>1</v>
      </c>
      <c r="B2" t="s">
        <v>37</v>
      </c>
      <c r="C2" s="24">
        <v>2</v>
      </c>
    </row>
    <row r="3" spans="1:3" x14ac:dyDescent="0.25">
      <c r="A3">
        <v>2</v>
      </c>
      <c r="B3" t="s">
        <v>38</v>
      </c>
      <c r="C3" s="24">
        <v>2</v>
      </c>
    </row>
    <row r="4" spans="1:3" x14ac:dyDescent="0.25">
      <c r="A4">
        <v>3</v>
      </c>
      <c r="B4" t="s">
        <v>39</v>
      </c>
      <c r="C4" s="24">
        <v>1</v>
      </c>
    </row>
    <row r="5" ht="15.75" customHeight="1" spans="1:6" x14ac:dyDescent="0.25">
      <c r="A5">
        <v>4</v>
      </c>
      <c r="B5" t="s">
        <v>40</v>
      </c>
      <c r="C5" s="24">
        <v>1</v>
      </c>
      <c r="E5" s="25" t="s">
        <v>41</v>
      </c>
      <c r="F5" s="25" t="s">
        <v>42</v>
      </c>
    </row>
    <row r="6" spans="1:6" x14ac:dyDescent="0.25">
      <c r="A6">
        <v>5</v>
      </c>
      <c r="B6" t="s">
        <v>43</v>
      </c>
      <c r="C6" s="24">
        <v>1</v>
      </c>
      <c r="E6" t="s">
        <v>44</v>
      </c>
      <c r="F6">
        <v>1</v>
      </c>
    </row>
    <row r="7" spans="1:6" x14ac:dyDescent="0.25">
      <c r="A7">
        <v>6</v>
      </c>
      <c r="B7" t="s">
        <v>45</v>
      </c>
      <c r="C7" s="24">
        <v>1</v>
      </c>
      <c r="E7" t="s">
        <v>46</v>
      </c>
      <c r="F7">
        <v>2</v>
      </c>
    </row>
    <row r="8" spans="1:6" x14ac:dyDescent="0.25">
      <c r="A8">
        <v>7</v>
      </c>
      <c r="B8" t="s">
        <v>47</v>
      </c>
      <c r="C8" s="24">
        <v>6</v>
      </c>
      <c r="E8" t="s">
        <v>48</v>
      </c>
      <c r="F8">
        <v>3</v>
      </c>
    </row>
    <row r="9" spans="1:6" x14ac:dyDescent="0.25">
      <c r="A9">
        <v>8</v>
      </c>
      <c r="B9" t="s">
        <v>49</v>
      </c>
      <c r="C9" s="24">
        <v>1</v>
      </c>
      <c r="E9" t="s">
        <v>50</v>
      </c>
      <c r="F9">
        <v>4</v>
      </c>
    </row>
    <row r="10" spans="1:6" x14ac:dyDescent="0.25">
      <c r="A10">
        <v>9</v>
      </c>
      <c r="B10" t="s">
        <v>51</v>
      </c>
      <c r="C10" s="24">
        <v>1</v>
      </c>
      <c r="E10" t="s">
        <v>52</v>
      </c>
      <c r="F10">
        <v>5</v>
      </c>
    </row>
    <row r="11" spans="1:6" x14ac:dyDescent="0.25">
      <c r="A11">
        <v>10</v>
      </c>
      <c r="B11" t="s">
        <v>53</v>
      </c>
      <c r="C11" s="24">
        <v>4</v>
      </c>
      <c r="E11" s="26" t="s">
        <v>54</v>
      </c>
      <c r="F11" s="26">
        <v>6</v>
      </c>
    </row>
    <row r="12" spans="1:3" x14ac:dyDescent="0.25">
      <c r="A12">
        <v>11</v>
      </c>
      <c r="B12" t="s">
        <v>55</v>
      </c>
      <c r="C12" s="24">
        <v>1</v>
      </c>
    </row>
    <row r="13" spans="1:3" x14ac:dyDescent="0.25">
      <c r="A13">
        <v>12</v>
      </c>
      <c r="B13" t="s">
        <v>56</v>
      </c>
      <c r="C13" s="24">
        <v>1</v>
      </c>
    </row>
    <row r="14" spans="1:3" x14ac:dyDescent="0.25">
      <c r="A14">
        <v>13</v>
      </c>
      <c r="B14" t="s">
        <v>57</v>
      </c>
      <c r="C14" s="24">
        <v>1</v>
      </c>
    </row>
    <row r="15" spans="1:6" x14ac:dyDescent="0.25">
      <c r="A15">
        <v>14</v>
      </c>
      <c r="B15" t="s">
        <v>58</v>
      </c>
      <c r="C15" s="24">
        <v>3</v>
      </c>
    </row>
    <row r="16" spans="1:6" x14ac:dyDescent="0.25">
      <c r="A16">
        <v>15</v>
      </c>
      <c r="B16" t="s">
        <v>59</v>
      </c>
      <c r="C16" s="24">
        <v>2</v>
      </c>
      <c r="F16" s="24"/>
    </row>
    <row r="17" spans="1:6" x14ac:dyDescent="0.25">
      <c r="A17">
        <v>16</v>
      </c>
      <c r="B17" t="s">
        <v>60</v>
      </c>
      <c r="C17" s="24">
        <v>4</v>
      </c>
      <c r="F17" s="24"/>
    </row>
    <row r="18" spans="1:6" x14ac:dyDescent="0.25">
      <c r="A18">
        <v>17</v>
      </c>
      <c r="B18" t="s">
        <v>61</v>
      </c>
      <c r="C18" s="24">
        <v>2</v>
      </c>
      <c r="F18" s="24"/>
    </row>
    <row r="19" spans="1:6" x14ac:dyDescent="0.25">
      <c r="A19">
        <v>18</v>
      </c>
      <c r="B19" t="s">
        <v>62</v>
      </c>
      <c r="C19" s="24">
        <v>1</v>
      </c>
      <c r="F19" s="24"/>
    </row>
    <row r="20" spans="1:3" x14ac:dyDescent="0.25">
      <c r="A20">
        <v>19</v>
      </c>
      <c r="B20" t="s">
        <v>63</v>
      </c>
      <c r="C20" s="24">
        <v>3</v>
      </c>
    </row>
    <row r="21" spans="1:3" x14ac:dyDescent="0.25">
      <c r="A21">
        <v>20</v>
      </c>
      <c r="B21" t="s">
        <v>64</v>
      </c>
      <c r="C21" s="24">
        <v>1</v>
      </c>
    </row>
    <row r="22" spans="1:3" x14ac:dyDescent="0.25">
      <c r="A22">
        <v>21</v>
      </c>
      <c r="B22" t="s">
        <v>65</v>
      </c>
      <c r="C22" s="24">
        <v>1</v>
      </c>
    </row>
    <row r="23" spans="1:3" x14ac:dyDescent="0.25">
      <c r="A23">
        <v>22</v>
      </c>
      <c r="B23" t="s">
        <v>66</v>
      </c>
      <c r="C23" s="24">
        <v>1</v>
      </c>
    </row>
    <row r="24" spans="1:3" x14ac:dyDescent="0.25">
      <c r="A24">
        <v>23</v>
      </c>
      <c r="B24" t="s">
        <v>67</v>
      </c>
      <c r="C24" s="24">
        <v>1</v>
      </c>
    </row>
    <row r="25" spans="1:3" x14ac:dyDescent="0.25">
      <c r="A25">
        <v>24</v>
      </c>
      <c r="B25" t="s">
        <v>68</v>
      </c>
      <c r="C25" s="24">
        <v>4</v>
      </c>
    </row>
    <row r="26" spans="1:3" x14ac:dyDescent="0.25">
      <c r="A26">
        <v>25</v>
      </c>
      <c r="B26" t="s">
        <v>69</v>
      </c>
      <c r="C26" s="24">
        <v>6</v>
      </c>
    </row>
    <row r="27" spans="1:3" x14ac:dyDescent="0.25">
      <c r="A27">
        <v>26</v>
      </c>
      <c r="B27" t="s">
        <v>70</v>
      </c>
      <c r="C27" s="24">
        <v>1</v>
      </c>
    </row>
    <row r="28" spans="1:3" x14ac:dyDescent="0.25">
      <c r="A28">
        <v>27</v>
      </c>
      <c r="B28" t="s">
        <v>71</v>
      </c>
      <c r="C28" s="24">
        <v>2</v>
      </c>
    </row>
    <row r="29" spans="1:3" x14ac:dyDescent="0.25">
      <c r="A29">
        <v>28</v>
      </c>
      <c r="B29" t="s">
        <v>72</v>
      </c>
      <c r="C29" s="24">
        <v>4</v>
      </c>
    </row>
    <row r="30" spans="1:3" x14ac:dyDescent="0.25">
      <c r="A30">
        <v>29</v>
      </c>
      <c r="B30" t="s">
        <v>73</v>
      </c>
      <c r="C30" s="24">
        <v>3</v>
      </c>
    </row>
    <row r="31" spans="1:3" x14ac:dyDescent="0.25">
      <c r="A31">
        <v>30</v>
      </c>
      <c r="B31" t="s">
        <v>74</v>
      </c>
      <c r="C31" s="24">
        <v>1</v>
      </c>
    </row>
    <row r="32" spans="1:3" x14ac:dyDescent="0.25">
      <c r="A32">
        <v>31</v>
      </c>
      <c r="B32" t="s">
        <v>75</v>
      </c>
      <c r="C32" s="24">
        <v>4</v>
      </c>
    </row>
    <row r="33" spans="1:3" x14ac:dyDescent="0.25">
      <c r="A33">
        <v>32</v>
      </c>
      <c r="B33" t="s">
        <v>76</v>
      </c>
      <c r="C33" s="24">
        <v>1</v>
      </c>
    </row>
    <row r="34" spans="1:3" x14ac:dyDescent="0.25">
      <c r="A34">
        <v>33</v>
      </c>
      <c r="B34" t="s">
        <v>77</v>
      </c>
      <c r="C34" s="24">
        <v>3</v>
      </c>
    </row>
    <row r="35" spans="1:3" x14ac:dyDescent="0.25">
      <c r="A35">
        <v>34</v>
      </c>
      <c r="B35" t="s">
        <v>78</v>
      </c>
      <c r="C35" s="24">
        <v>4</v>
      </c>
    </row>
    <row r="36" spans="1:3" x14ac:dyDescent="0.25">
      <c r="A36">
        <v>35</v>
      </c>
      <c r="B36" t="s">
        <v>79</v>
      </c>
      <c r="C36" s="24">
        <v>1</v>
      </c>
    </row>
    <row r="37" spans="1:3" x14ac:dyDescent="0.25">
      <c r="A37">
        <v>36</v>
      </c>
      <c r="B37" t="s">
        <v>80</v>
      </c>
      <c r="C37" s="24">
        <v>2</v>
      </c>
    </row>
    <row r="38" spans="1:3" x14ac:dyDescent="0.25">
      <c r="A38">
        <v>37</v>
      </c>
      <c r="B38" t="s">
        <v>81</v>
      </c>
      <c r="C38" s="24">
        <v>1</v>
      </c>
    </row>
    <row r="39" spans="1:3" x14ac:dyDescent="0.25">
      <c r="A39">
        <v>38</v>
      </c>
      <c r="B39" t="s">
        <v>82</v>
      </c>
      <c r="C39" s="24">
        <v>5</v>
      </c>
    </row>
    <row r="40" spans="1:3" x14ac:dyDescent="0.25">
      <c r="A40">
        <v>39</v>
      </c>
      <c r="B40" t="s">
        <v>83</v>
      </c>
      <c r="C40" s="24">
        <v>2</v>
      </c>
    </row>
    <row r="41" spans="1:3" x14ac:dyDescent="0.25">
      <c r="A41">
        <v>40</v>
      </c>
      <c r="B41" t="s">
        <v>84</v>
      </c>
      <c r="C41" s="24">
        <v>3</v>
      </c>
    </row>
    <row r="42" spans="1:3" x14ac:dyDescent="0.25">
      <c r="A42">
        <v>41</v>
      </c>
      <c r="B42" t="s">
        <v>85</v>
      </c>
      <c r="C42" s="24">
        <v>1</v>
      </c>
    </row>
    <row r="43" spans="1:3" x14ac:dyDescent="0.25">
      <c r="A43">
        <v>42</v>
      </c>
      <c r="B43" t="s">
        <v>86</v>
      </c>
      <c r="C43" s="24">
        <v>1</v>
      </c>
    </row>
    <row r="44" spans="1:3" x14ac:dyDescent="0.25">
      <c r="A44">
        <v>43</v>
      </c>
      <c r="B44" t="s">
        <v>87</v>
      </c>
      <c r="C44" s="24">
        <v>1</v>
      </c>
    </row>
    <row r="45" spans="1:3" x14ac:dyDescent="0.25">
      <c r="A45">
        <v>44</v>
      </c>
      <c r="B45" t="s">
        <v>88</v>
      </c>
      <c r="C45" s="24">
        <v>1</v>
      </c>
    </row>
    <row r="46" spans="1:3" x14ac:dyDescent="0.25">
      <c r="A46">
        <v>45</v>
      </c>
      <c r="B46" t="s">
        <v>89</v>
      </c>
      <c r="C46" s="24">
        <v>1</v>
      </c>
    </row>
    <row r="47" spans="1:3" x14ac:dyDescent="0.25">
      <c r="A47">
        <v>46</v>
      </c>
      <c r="B47" t="s">
        <v>90</v>
      </c>
      <c r="C47" s="24">
        <v>1</v>
      </c>
    </row>
    <row r="48" spans="1:3" x14ac:dyDescent="0.25">
      <c r="A48">
        <v>47</v>
      </c>
      <c r="B48" t="s">
        <v>91</v>
      </c>
      <c r="C48" s="24">
        <v>1</v>
      </c>
    </row>
    <row r="49" spans="1:3" x14ac:dyDescent="0.25">
      <c r="A49">
        <v>48</v>
      </c>
      <c r="B49" t="s">
        <v>92</v>
      </c>
      <c r="C49" s="24">
        <v>6</v>
      </c>
    </row>
    <row r="50" spans="1:3" x14ac:dyDescent="0.25">
      <c r="A50">
        <v>49</v>
      </c>
      <c r="B50" t="s">
        <v>93</v>
      </c>
      <c r="C50" s="24">
        <v>2</v>
      </c>
    </row>
    <row r="51" spans="1:3" x14ac:dyDescent="0.25">
      <c r="A51">
        <v>50</v>
      </c>
      <c r="B51" t="s">
        <v>94</v>
      </c>
      <c r="C51" s="24">
        <v>6</v>
      </c>
    </row>
    <row r="52" spans="1:3" x14ac:dyDescent="0.25">
      <c r="A52">
        <v>51</v>
      </c>
      <c r="B52" t="s">
        <v>95</v>
      </c>
      <c r="C52" s="24">
        <v>2</v>
      </c>
    </row>
    <row r="53" spans="1:3" x14ac:dyDescent="0.25">
      <c r="A53">
        <v>52</v>
      </c>
      <c r="B53" t="s">
        <v>96</v>
      </c>
      <c r="C53" s="24">
        <v>2</v>
      </c>
    </row>
    <row r="54" spans="1:3" x14ac:dyDescent="0.25">
      <c r="A54">
        <v>53</v>
      </c>
      <c r="B54" t="s">
        <v>97</v>
      </c>
      <c r="C54" s="24">
        <v>6</v>
      </c>
    </row>
    <row r="55" spans="1:3" x14ac:dyDescent="0.25">
      <c r="A55">
        <v>54</v>
      </c>
      <c r="B55" t="s">
        <v>98</v>
      </c>
      <c r="C55" s="24">
        <v>1</v>
      </c>
    </row>
    <row r="56" spans="1:3" x14ac:dyDescent="0.25">
      <c r="A56">
        <v>55</v>
      </c>
      <c r="B56" t="s">
        <v>99</v>
      </c>
      <c r="C56" s="24">
        <v>3</v>
      </c>
    </row>
    <row r="57" spans="1:3" x14ac:dyDescent="0.25">
      <c r="A57">
        <v>56</v>
      </c>
      <c r="B57" t="s">
        <v>100</v>
      </c>
      <c r="C57" s="24">
        <v>1</v>
      </c>
    </row>
    <row r="58" spans="1:3" x14ac:dyDescent="0.25">
      <c r="A58">
        <v>57</v>
      </c>
      <c r="B58" t="s">
        <v>101</v>
      </c>
      <c r="C58" s="24">
        <v>3</v>
      </c>
    </row>
    <row r="59" spans="1:3" x14ac:dyDescent="0.25">
      <c r="A59">
        <v>58</v>
      </c>
      <c r="B59" t="s">
        <v>102</v>
      </c>
      <c r="C59" s="24">
        <v>6</v>
      </c>
    </row>
    <row r="60" spans="1:3" x14ac:dyDescent="0.25">
      <c r="A60">
        <v>59</v>
      </c>
      <c r="B60" t="s">
        <v>103</v>
      </c>
      <c r="C60" s="24">
        <v>4</v>
      </c>
    </row>
    <row r="61" spans="1:3" x14ac:dyDescent="0.25">
      <c r="A61">
        <v>60</v>
      </c>
      <c r="B61" t="s">
        <v>104</v>
      </c>
      <c r="C61" s="24">
        <v>2</v>
      </c>
    </row>
    <row r="62" spans="1:3" x14ac:dyDescent="0.25">
      <c r="A62">
        <v>61</v>
      </c>
      <c r="B62" t="s">
        <v>105</v>
      </c>
      <c r="C62" s="24">
        <v>1</v>
      </c>
    </row>
    <row r="63" spans="1:3" x14ac:dyDescent="0.25">
      <c r="A63">
        <v>62</v>
      </c>
      <c r="B63" t="s">
        <v>106</v>
      </c>
      <c r="C63" s="24">
        <v>1</v>
      </c>
    </row>
    <row r="64" spans="1:3" x14ac:dyDescent="0.25">
      <c r="A64">
        <v>63</v>
      </c>
      <c r="B64" t="s">
        <v>107</v>
      </c>
      <c r="C64" s="24">
        <v>1</v>
      </c>
    </row>
    <row r="65" spans="1:3" x14ac:dyDescent="0.25">
      <c r="A65">
        <v>64</v>
      </c>
      <c r="B65" t="s">
        <v>108</v>
      </c>
      <c r="C65" s="24">
        <v>1</v>
      </c>
    </row>
    <row r="66" spans="1:3" x14ac:dyDescent="0.25">
      <c r="A66">
        <v>65</v>
      </c>
      <c r="B66" t="s">
        <v>109</v>
      </c>
      <c r="C66" s="24">
        <v>5</v>
      </c>
    </row>
    <row r="67" spans="1:3" x14ac:dyDescent="0.25">
      <c r="A67">
        <v>66</v>
      </c>
      <c r="B67" t="s">
        <v>110</v>
      </c>
      <c r="C67" s="24">
        <v>1</v>
      </c>
    </row>
    <row r="68" spans="1:3" x14ac:dyDescent="0.25">
      <c r="A68">
        <v>67</v>
      </c>
      <c r="B68" t="s">
        <v>111</v>
      </c>
      <c r="C68" s="24">
        <v>1</v>
      </c>
    </row>
    <row r="69" spans="1:3" x14ac:dyDescent="0.25">
      <c r="A69">
        <v>68</v>
      </c>
      <c r="B69" t="s">
        <v>112</v>
      </c>
      <c r="C69" s="24">
        <v>2</v>
      </c>
    </row>
    <row r="70" spans="1:3" x14ac:dyDescent="0.25">
      <c r="A70">
        <v>69</v>
      </c>
      <c r="B70" t="s">
        <v>113</v>
      </c>
      <c r="C70" s="24">
        <v>2</v>
      </c>
    </row>
    <row r="71" spans="1:3" x14ac:dyDescent="0.25">
      <c r="A71">
        <v>70</v>
      </c>
      <c r="B71" t="s">
        <v>114</v>
      </c>
      <c r="C71" s="24">
        <v>1</v>
      </c>
    </row>
    <row r="72" spans="1:3" x14ac:dyDescent="0.25">
      <c r="A72">
        <v>71</v>
      </c>
      <c r="B72" t="s">
        <v>115</v>
      </c>
      <c r="C72" s="24">
        <v>5</v>
      </c>
    </row>
    <row r="73" spans="1:3" x14ac:dyDescent="0.25">
      <c r="A73">
        <v>72</v>
      </c>
      <c r="B73" t="s">
        <v>116</v>
      </c>
      <c r="C73" s="24">
        <v>1</v>
      </c>
    </row>
    <row r="74" spans="1:3" x14ac:dyDescent="0.25">
      <c r="A74">
        <v>73</v>
      </c>
      <c r="B74" t="s">
        <v>117</v>
      </c>
      <c r="C74" s="24">
        <v>5</v>
      </c>
    </row>
    <row r="75" spans="1:3" x14ac:dyDescent="0.25">
      <c r="A75">
        <v>74</v>
      </c>
      <c r="B75" t="s">
        <v>118</v>
      </c>
      <c r="C75" s="24">
        <v>3</v>
      </c>
    </row>
    <row r="76" spans="1:3" x14ac:dyDescent="0.25">
      <c r="A76">
        <v>75</v>
      </c>
      <c r="B76" t="s">
        <v>119</v>
      </c>
      <c r="C76" s="24">
        <v>1</v>
      </c>
    </row>
    <row r="77" spans="1:3" x14ac:dyDescent="0.25">
      <c r="A77">
        <v>76</v>
      </c>
      <c r="B77" t="s">
        <v>120</v>
      </c>
      <c r="C77" s="24">
        <v>1</v>
      </c>
    </row>
    <row r="78" spans="1:3" x14ac:dyDescent="0.25">
      <c r="A78">
        <v>77</v>
      </c>
      <c r="B78" t="s">
        <v>121</v>
      </c>
      <c r="C78" s="24">
        <v>1</v>
      </c>
    </row>
    <row r="79" spans="1:3" x14ac:dyDescent="0.25">
      <c r="A79">
        <v>78</v>
      </c>
      <c r="B79" t="s">
        <v>122</v>
      </c>
      <c r="C79" s="24">
        <v>1</v>
      </c>
    </row>
    <row r="80" spans="1:3" x14ac:dyDescent="0.25">
      <c r="A80">
        <v>79</v>
      </c>
      <c r="B80" t="s">
        <v>123</v>
      </c>
      <c r="C80" s="24">
        <v>4</v>
      </c>
    </row>
    <row r="81" spans="1:3" x14ac:dyDescent="0.25">
      <c r="A81">
        <v>80</v>
      </c>
      <c r="B81" t="s">
        <v>124</v>
      </c>
      <c r="C81" s="24">
        <v>5</v>
      </c>
    </row>
    <row r="82" spans="1:3" x14ac:dyDescent="0.25">
      <c r="A82">
        <v>81</v>
      </c>
      <c r="B82" t="s">
        <v>125</v>
      </c>
      <c r="C82" s="24">
        <v>1</v>
      </c>
    </row>
    <row r="83" spans="1:3" x14ac:dyDescent="0.25">
      <c r="A83">
        <v>82</v>
      </c>
      <c r="B83" t="s">
        <v>126</v>
      </c>
      <c r="C83" s="24">
        <v>4</v>
      </c>
    </row>
    <row r="84" spans="1:3" x14ac:dyDescent="0.25">
      <c r="A84">
        <v>83</v>
      </c>
      <c r="B84" t="s">
        <v>127</v>
      </c>
      <c r="C84" s="24">
        <v>1</v>
      </c>
    </row>
    <row r="85" spans="1:3" x14ac:dyDescent="0.25">
      <c r="A85">
        <v>84</v>
      </c>
      <c r="B85" t="s">
        <v>128</v>
      </c>
      <c r="C85" s="24">
        <v>6</v>
      </c>
    </row>
    <row r="86" spans="1:3" x14ac:dyDescent="0.25">
      <c r="A86">
        <v>85</v>
      </c>
      <c r="B86" t="s">
        <v>129</v>
      </c>
      <c r="C86" s="24">
        <v>1</v>
      </c>
    </row>
    <row r="87" spans="1:3" x14ac:dyDescent="0.25">
      <c r="A87">
        <v>86</v>
      </c>
      <c r="B87" t="s">
        <v>130</v>
      </c>
      <c r="C87" s="24">
        <v>2</v>
      </c>
    </row>
    <row r="88" spans="1:3" x14ac:dyDescent="0.25">
      <c r="A88">
        <v>87</v>
      </c>
      <c r="B88" t="s">
        <v>131</v>
      </c>
      <c r="C88" s="24">
        <v>5</v>
      </c>
    </row>
    <row r="89" spans="1:3" x14ac:dyDescent="0.25">
      <c r="A89">
        <v>88</v>
      </c>
      <c r="B89" t="s">
        <v>132</v>
      </c>
      <c r="C89" s="24">
        <v>2</v>
      </c>
    </row>
    <row r="90" spans="1:3" x14ac:dyDescent="0.25">
      <c r="A90">
        <v>89</v>
      </c>
      <c r="B90" t="s">
        <v>133</v>
      </c>
      <c r="C90" s="24">
        <v>1</v>
      </c>
    </row>
    <row r="91" spans="1:3" x14ac:dyDescent="0.25">
      <c r="A91">
        <v>90</v>
      </c>
      <c r="B91" t="s">
        <v>134</v>
      </c>
      <c r="C91" s="24">
        <v>4</v>
      </c>
    </row>
    <row r="92" spans="1:3" x14ac:dyDescent="0.25">
      <c r="A92">
        <v>91</v>
      </c>
      <c r="B92" t="s">
        <v>135</v>
      </c>
      <c r="C92" s="24">
        <v>2</v>
      </c>
    </row>
    <row r="93" spans="1:3" x14ac:dyDescent="0.25">
      <c r="A93">
        <v>92</v>
      </c>
      <c r="B93" t="s">
        <v>136</v>
      </c>
      <c r="C93" s="24">
        <v>2</v>
      </c>
    </row>
    <row r="94" spans="1:3" x14ac:dyDescent="0.25">
      <c r="A94">
        <v>93</v>
      </c>
      <c r="B94" t="s">
        <v>137</v>
      </c>
      <c r="C94" s="24">
        <v>6</v>
      </c>
    </row>
    <row r="95" spans="1:3" x14ac:dyDescent="0.25">
      <c r="A95">
        <v>94</v>
      </c>
      <c r="B95" t="s">
        <v>138</v>
      </c>
      <c r="C95" s="24">
        <v>1</v>
      </c>
    </row>
    <row r="96" spans="1:3" x14ac:dyDescent="0.25">
      <c r="A96">
        <v>95</v>
      </c>
      <c r="B96" t="s">
        <v>139</v>
      </c>
      <c r="C96" s="24">
        <v>2</v>
      </c>
    </row>
    <row r="97" spans="1:3" x14ac:dyDescent="0.25">
      <c r="A97">
        <v>96</v>
      </c>
      <c r="B97" t="s">
        <v>140</v>
      </c>
      <c r="C97" s="24">
        <v>2</v>
      </c>
    </row>
    <row r="98" spans="1:3" x14ac:dyDescent="0.25">
      <c r="A98">
        <v>97</v>
      </c>
      <c r="B98" t="s">
        <v>141</v>
      </c>
      <c r="C98" s="24">
        <v>4</v>
      </c>
    </row>
    <row r="99" spans="1:3" x14ac:dyDescent="0.25">
      <c r="A99">
        <v>98</v>
      </c>
      <c r="B99" t="s">
        <v>142</v>
      </c>
      <c r="C99" s="24">
        <v>6</v>
      </c>
    </row>
    <row r="100" spans="1:3" x14ac:dyDescent="0.25">
      <c r="A100">
        <v>99</v>
      </c>
      <c r="B100" t="s">
        <v>143</v>
      </c>
      <c r="C100" s="24">
        <v>1</v>
      </c>
    </row>
    <row r="101" spans="1:3" x14ac:dyDescent="0.25">
      <c r="A101">
        <v>100</v>
      </c>
      <c r="B101" t="s">
        <v>144</v>
      </c>
      <c r="C101" s="24">
        <v>1</v>
      </c>
    </row>
    <row r="102" spans="1:3" x14ac:dyDescent="0.25">
      <c r="A102">
        <v>101</v>
      </c>
      <c r="B102" t="s">
        <v>145</v>
      </c>
      <c r="C102" s="24">
        <v>2</v>
      </c>
    </row>
    <row r="103" spans="1:3" x14ac:dyDescent="0.25">
      <c r="A103">
        <v>102</v>
      </c>
      <c r="B103" t="s">
        <v>146</v>
      </c>
      <c r="C103" s="24">
        <v>2</v>
      </c>
    </row>
    <row r="104" spans="1:3" x14ac:dyDescent="0.25">
      <c r="A104">
        <v>103</v>
      </c>
      <c r="B104" t="s">
        <v>147</v>
      </c>
      <c r="C104" s="24">
        <v>1</v>
      </c>
    </row>
    <row r="105" spans="1:3" x14ac:dyDescent="0.25">
      <c r="A105">
        <v>104</v>
      </c>
      <c r="B105" t="s">
        <v>148</v>
      </c>
      <c r="C105" s="24">
        <v>5</v>
      </c>
    </row>
    <row r="106" spans="1:3" x14ac:dyDescent="0.25">
      <c r="A106">
        <v>105</v>
      </c>
      <c r="B106" t="s">
        <v>149</v>
      </c>
      <c r="C106" s="24">
        <v>1</v>
      </c>
    </row>
    <row r="107" spans="1:3" x14ac:dyDescent="0.25">
      <c r="A107">
        <v>106</v>
      </c>
      <c r="B107" t="s">
        <v>150</v>
      </c>
      <c r="C107" s="24">
        <v>1</v>
      </c>
    </row>
    <row r="108" spans="1:3" x14ac:dyDescent="0.25">
      <c r="A108">
        <v>107</v>
      </c>
      <c r="B108" t="s">
        <v>151</v>
      </c>
      <c r="C108" s="24">
        <v>5</v>
      </c>
    </row>
    <row r="109" spans="1:3" x14ac:dyDescent="0.25">
      <c r="A109">
        <v>108</v>
      </c>
      <c r="B109" t="s">
        <v>152</v>
      </c>
      <c r="C109" s="24">
        <v>5</v>
      </c>
    </row>
    <row r="110" spans="1:3" x14ac:dyDescent="0.25">
      <c r="A110">
        <v>109</v>
      </c>
      <c r="B110" t="s">
        <v>153</v>
      </c>
      <c r="C110" s="24">
        <v>1</v>
      </c>
    </row>
    <row r="111" spans="1:3" x14ac:dyDescent="0.25">
      <c r="A111">
        <v>110</v>
      </c>
      <c r="B111" t="s">
        <v>154</v>
      </c>
      <c r="C111" s="24">
        <v>1</v>
      </c>
    </row>
    <row r="112" spans="1:3" x14ac:dyDescent="0.25">
      <c r="A112">
        <v>111</v>
      </c>
      <c r="B112" t="s">
        <v>155</v>
      </c>
      <c r="C112" s="24">
        <v>1</v>
      </c>
    </row>
    <row r="113" spans="1:3" x14ac:dyDescent="0.25">
      <c r="A113">
        <v>112</v>
      </c>
      <c r="B113" t="s">
        <v>156</v>
      </c>
      <c r="C113" s="24">
        <v>1</v>
      </c>
    </row>
    <row r="114" spans="1:3" x14ac:dyDescent="0.25">
      <c r="A114">
        <v>113</v>
      </c>
      <c r="B114" t="s">
        <v>157</v>
      </c>
      <c r="C114" s="24">
        <v>1</v>
      </c>
    </row>
    <row r="115" spans="1:3" x14ac:dyDescent="0.25">
      <c r="A115">
        <v>114</v>
      </c>
      <c r="B115" t="s">
        <v>158</v>
      </c>
      <c r="C115" s="24">
        <v>2</v>
      </c>
    </row>
    <row r="116" spans="1:3" x14ac:dyDescent="0.25">
      <c r="A116">
        <v>115</v>
      </c>
      <c r="B116" t="s">
        <v>159</v>
      </c>
      <c r="C116" s="24">
        <v>5</v>
      </c>
    </row>
    <row r="117" spans="1:3" x14ac:dyDescent="0.25">
      <c r="A117">
        <v>116</v>
      </c>
      <c r="B117" t="s">
        <v>160</v>
      </c>
      <c r="C117" s="24">
        <v>1</v>
      </c>
    </row>
    <row r="118" spans="1:3" x14ac:dyDescent="0.25">
      <c r="A118">
        <v>117</v>
      </c>
      <c r="B118" t="s">
        <v>161</v>
      </c>
      <c r="C118" s="24">
        <v>1</v>
      </c>
    </row>
    <row r="119" spans="1:3" x14ac:dyDescent="0.25">
      <c r="A119">
        <v>118</v>
      </c>
      <c r="B119" t="s">
        <v>162</v>
      </c>
      <c r="C119" s="24">
        <v>2</v>
      </c>
    </row>
    <row r="120" spans="1:3" x14ac:dyDescent="0.25">
      <c r="A120">
        <v>119</v>
      </c>
      <c r="B120" t="s">
        <v>163</v>
      </c>
      <c r="C120" s="24">
        <v>1</v>
      </c>
    </row>
    <row r="121" spans="1:3" x14ac:dyDescent="0.25">
      <c r="A121">
        <v>120</v>
      </c>
      <c r="B121" t="s">
        <v>164</v>
      </c>
      <c r="C121" s="24">
        <v>1</v>
      </c>
    </row>
    <row r="122" spans="1:3" x14ac:dyDescent="0.25">
      <c r="A122">
        <v>121</v>
      </c>
      <c r="B122" t="s">
        <v>165</v>
      </c>
      <c r="C122" s="24">
        <v>1</v>
      </c>
    </row>
    <row r="123" spans="1:3" x14ac:dyDescent="0.25">
      <c r="A123">
        <v>122</v>
      </c>
      <c r="B123" t="s">
        <v>166</v>
      </c>
      <c r="C123" s="24">
        <v>1</v>
      </c>
    </row>
    <row r="124" spans="1:3" x14ac:dyDescent="0.25">
      <c r="A124">
        <v>123</v>
      </c>
      <c r="B124" t="s">
        <v>167</v>
      </c>
      <c r="C124" s="24">
        <v>1</v>
      </c>
    </row>
    <row r="125" spans="1:3" x14ac:dyDescent="0.25">
      <c r="A125">
        <v>124</v>
      </c>
      <c r="B125" t="s">
        <v>168</v>
      </c>
      <c r="C125" s="24">
        <v>1</v>
      </c>
    </row>
    <row r="126" spans="1:3" x14ac:dyDescent="0.25">
      <c r="A126">
        <v>125</v>
      </c>
      <c r="B126" t="s">
        <v>169</v>
      </c>
      <c r="C126" s="24">
        <v>2</v>
      </c>
    </row>
    <row r="127" spans="1:3" x14ac:dyDescent="0.25">
      <c r="A127">
        <v>126</v>
      </c>
      <c r="B127" t="s">
        <v>170</v>
      </c>
      <c r="C127" s="24">
        <v>1</v>
      </c>
    </row>
    <row r="128" spans="1:3" x14ac:dyDescent="0.25">
      <c r="A128">
        <v>127</v>
      </c>
      <c r="B128" t="s">
        <v>171</v>
      </c>
      <c r="C128" s="24">
        <v>1</v>
      </c>
    </row>
    <row r="129" spans="1:3" x14ac:dyDescent="0.25">
      <c r="A129">
        <v>128</v>
      </c>
      <c r="B129" t="s">
        <v>172</v>
      </c>
      <c r="C129" s="24">
        <v>1</v>
      </c>
    </row>
    <row r="130" spans="1:3" x14ac:dyDescent="0.25">
      <c r="A130">
        <v>129</v>
      </c>
      <c r="B130" t="s">
        <v>173</v>
      </c>
      <c r="C130" s="24">
        <v>1</v>
      </c>
    </row>
    <row r="131" spans="1:3" x14ac:dyDescent="0.25">
      <c r="A131">
        <v>130</v>
      </c>
      <c r="B131" t="s">
        <v>174</v>
      </c>
      <c r="C131" s="24">
        <v>1</v>
      </c>
    </row>
    <row r="132" spans="1:3" x14ac:dyDescent="0.25">
      <c r="A132">
        <v>131</v>
      </c>
      <c r="B132" t="s">
        <v>175</v>
      </c>
      <c r="C132" s="24">
        <v>1</v>
      </c>
    </row>
    <row r="133" spans="1:3" x14ac:dyDescent="0.25">
      <c r="A133">
        <v>132</v>
      </c>
      <c r="B133" t="s">
        <v>176</v>
      </c>
      <c r="C133" s="24">
        <v>1</v>
      </c>
    </row>
    <row r="134" spans="1:3" x14ac:dyDescent="0.25">
      <c r="A134">
        <v>133</v>
      </c>
      <c r="B134" t="s">
        <v>177</v>
      </c>
      <c r="C134" s="24">
        <v>3</v>
      </c>
    </row>
    <row r="135" spans="1:3" x14ac:dyDescent="0.25">
      <c r="A135">
        <v>134</v>
      </c>
      <c r="B135" t="s">
        <v>178</v>
      </c>
      <c r="C135" s="24">
        <v>1</v>
      </c>
    </row>
    <row r="136" spans="1:3" x14ac:dyDescent="0.25">
      <c r="A136">
        <v>135</v>
      </c>
      <c r="B136" t="s">
        <v>179</v>
      </c>
      <c r="C136" s="24">
        <v>6</v>
      </c>
    </row>
    <row r="137" spans="1:3" x14ac:dyDescent="0.25">
      <c r="A137">
        <v>136</v>
      </c>
      <c r="B137" t="s">
        <v>180</v>
      </c>
      <c r="C137" s="24">
        <v>1</v>
      </c>
    </row>
    <row r="138" spans="1:3" x14ac:dyDescent="0.25">
      <c r="A138">
        <v>137</v>
      </c>
      <c r="B138" t="s">
        <v>181</v>
      </c>
      <c r="C138" s="24">
        <v>3</v>
      </c>
    </row>
    <row r="139" spans="1:3" x14ac:dyDescent="0.25">
      <c r="A139">
        <v>138</v>
      </c>
      <c r="B139" t="s">
        <v>182</v>
      </c>
      <c r="C139" s="24">
        <v>4</v>
      </c>
    </row>
    <row r="140" spans="1:3" x14ac:dyDescent="0.25">
      <c r="A140">
        <v>139</v>
      </c>
      <c r="B140" t="s">
        <v>183</v>
      </c>
      <c r="C140" s="24">
        <v>2</v>
      </c>
    </row>
    <row r="141" spans="1:3" x14ac:dyDescent="0.25">
      <c r="A141">
        <v>140</v>
      </c>
      <c r="B141" t="s">
        <v>184</v>
      </c>
      <c r="C141" s="24">
        <v>1</v>
      </c>
    </row>
    <row r="142" spans="1:3" x14ac:dyDescent="0.25">
      <c r="A142">
        <v>141</v>
      </c>
      <c r="B142" t="s">
        <v>185</v>
      </c>
      <c r="C142" s="24">
        <v>1</v>
      </c>
    </row>
    <row r="143" spans="1:3" x14ac:dyDescent="0.25">
      <c r="A143">
        <v>142</v>
      </c>
      <c r="B143" t="s">
        <v>186</v>
      </c>
      <c r="C143" s="24">
        <v>1</v>
      </c>
    </row>
    <row r="144" spans="1:3" x14ac:dyDescent="0.25">
      <c r="A144">
        <v>143</v>
      </c>
      <c r="B144" t="s">
        <v>187</v>
      </c>
      <c r="C144" s="24">
        <v>1</v>
      </c>
    </row>
    <row r="145" spans="1:3" x14ac:dyDescent="0.25">
      <c r="A145">
        <v>144</v>
      </c>
      <c r="B145" t="s">
        <v>188</v>
      </c>
      <c r="C145" s="24">
        <v>5</v>
      </c>
    </row>
    <row r="146" spans="1:3" x14ac:dyDescent="0.25">
      <c r="A146">
        <v>145</v>
      </c>
      <c r="B146" t="s">
        <v>189</v>
      </c>
      <c r="C146" s="24">
        <v>1</v>
      </c>
    </row>
    <row r="147" spans="1:3" x14ac:dyDescent="0.25">
      <c r="A147">
        <v>146</v>
      </c>
      <c r="B147" t="s">
        <v>190</v>
      </c>
      <c r="C147" s="24">
        <v>1</v>
      </c>
    </row>
    <row r="148" spans="1:3" x14ac:dyDescent="0.25">
      <c r="A148">
        <v>147</v>
      </c>
      <c r="B148" t="s">
        <v>191</v>
      </c>
      <c r="C148" s="24">
        <v>2</v>
      </c>
    </row>
    <row r="149" spans="1:3" x14ac:dyDescent="0.25">
      <c r="A149">
        <v>148</v>
      </c>
      <c r="B149" t="s">
        <v>192</v>
      </c>
      <c r="C149" s="24">
        <v>1</v>
      </c>
    </row>
    <row r="150" spans="1:3" x14ac:dyDescent="0.25">
      <c r="A150">
        <v>149</v>
      </c>
      <c r="B150" t="s">
        <v>193</v>
      </c>
      <c r="C150" s="24">
        <v>1</v>
      </c>
    </row>
    <row r="151" spans="1:3" x14ac:dyDescent="0.25">
      <c r="A151">
        <v>150</v>
      </c>
      <c r="B151" t="s">
        <v>194</v>
      </c>
      <c r="C151" s="24">
        <v>3</v>
      </c>
    </row>
    <row r="152" spans="1:3" x14ac:dyDescent="0.25">
      <c r="A152">
        <v>151</v>
      </c>
      <c r="B152" t="s">
        <v>195</v>
      </c>
      <c r="C152" s="24">
        <v>1</v>
      </c>
    </row>
    <row r="153" spans="1:3" x14ac:dyDescent="0.25">
      <c r="A153">
        <v>152</v>
      </c>
      <c r="B153" t="s">
        <v>196</v>
      </c>
      <c r="C153" s="24">
        <v>1</v>
      </c>
    </row>
    <row r="154" spans="1:3" x14ac:dyDescent="0.25">
      <c r="A154">
        <v>153</v>
      </c>
      <c r="B154" t="s">
        <v>197</v>
      </c>
      <c r="C154" s="24">
        <v>1</v>
      </c>
    </row>
    <row r="155" spans="1:3" x14ac:dyDescent="0.25">
      <c r="A155">
        <v>154</v>
      </c>
      <c r="B155" t="s">
        <v>198</v>
      </c>
      <c r="C155" s="24">
        <v>1</v>
      </c>
    </row>
    <row r="156" spans="1:3" x14ac:dyDescent="0.25">
      <c r="A156">
        <v>155</v>
      </c>
      <c r="B156" t="s">
        <v>199</v>
      </c>
      <c r="C156" s="24">
        <v>1</v>
      </c>
    </row>
    <row r="157" spans="1:3" x14ac:dyDescent="0.25">
      <c r="A157">
        <v>156</v>
      </c>
      <c r="B157" t="s">
        <v>200</v>
      </c>
      <c r="C157" s="24">
        <v>1</v>
      </c>
    </row>
    <row r="158" spans="1:3" x14ac:dyDescent="0.25">
      <c r="A158">
        <v>157</v>
      </c>
      <c r="B158" t="s">
        <v>201</v>
      </c>
      <c r="C158" s="24">
        <v>1</v>
      </c>
    </row>
    <row r="159" spans="1:3" x14ac:dyDescent="0.25">
      <c r="A159">
        <v>158</v>
      </c>
      <c r="B159" t="s">
        <v>202</v>
      </c>
      <c r="C159" s="24">
        <v>1</v>
      </c>
    </row>
    <row r="160" spans="1:3" x14ac:dyDescent="0.25">
      <c r="A160">
        <v>159</v>
      </c>
      <c r="B160" t="s">
        <v>203</v>
      </c>
      <c r="C160" s="24">
        <v>1</v>
      </c>
    </row>
    <row r="161" spans="1:3" x14ac:dyDescent="0.25">
      <c r="A161">
        <v>160</v>
      </c>
      <c r="B161" t="s">
        <v>204</v>
      </c>
      <c r="C161" s="24">
        <v>6</v>
      </c>
    </row>
    <row r="162" spans="1:3" x14ac:dyDescent="0.25">
      <c r="A162">
        <v>161</v>
      </c>
      <c r="B162" t="s">
        <v>205</v>
      </c>
      <c r="C162" s="24">
        <v>1</v>
      </c>
    </row>
    <row r="163" spans="1:3" x14ac:dyDescent="0.25">
      <c r="A163">
        <v>162</v>
      </c>
      <c r="B163" t="s">
        <v>206</v>
      </c>
      <c r="C163" s="24">
        <v>1</v>
      </c>
    </row>
    <row r="164" spans="1:3" x14ac:dyDescent="0.25">
      <c r="A164">
        <v>163</v>
      </c>
      <c r="B164" t="s">
        <v>207</v>
      </c>
      <c r="C164" s="24">
        <v>1</v>
      </c>
    </row>
    <row r="165" spans="1:3" x14ac:dyDescent="0.25">
      <c r="A165">
        <v>164</v>
      </c>
      <c r="B165" t="s">
        <v>208</v>
      </c>
      <c r="C165" s="24">
        <v>1</v>
      </c>
    </row>
    <row r="166" spans="1:3" x14ac:dyDescent="0.25">
      <c r="A166">
        <v>165</v>
      </c>
      <c r="B166" t="s">
        <v>209</v>
      </c>
      <c r="C166" s="24">
        <v>4</v>
      </c>
    </row>
    <row r="167" spans="1:3" x14ac:dyDescent="0.25">
      <c r="A167">
        <v>166</v>
      </c>
      <c r="B167" t="s">
        <v>210</v>
      </c>
      <c r="C167" s="24">
        <v>4</v>
      </c>
    </row>
    <row r="168" spans="1:3" x14ac:dyDescent="0.25">
      <c r="A168">
        <v>167</v>
      </c>
      <c r="B168" t="s">
        <v>211</v>
      </c>
      <c r="C168" s="24">
        <v>4</v>
      </c>
    </row>
    <row r="169" spans="1:3" x14ac:dyDescent="0.25">
      <c r="A169">
        <v>168</v>
      </c>
      <c r="B169" t="s">
        <v>212</v>
      </c>
      <c r="C169" s="24">
        <v>1</v>
      </c>
    </row>
    <row r="170" spans="1:3" x14ac:dyDescent="0.25">
      <c r="A170">
        <v>169</v>
      </c>
      <c r="B170" t="s">
        <v>213</v>
      </c>
      <c r="C170" s="24">
        <v>1</v>
      </c>
    </row>
    <row r="171" spans="1:3" x14ac:dyDescent="0.25">
      <c r="A171">
        <v>170</v>
      </c>
      <c r="B171" t="s">
        <v>214</v>
      </c>
      <c r="C171" s="24">
        <v>1</v>
      </c>
    </row>
    <row r="172" spans="1:3" x14ac:dyDescent="0.25">
      <c r="A172">
        <v>171</v>
      </c>
      <c r="B172" t="s">
        <v>215</v>
      </c>
      <c r="C172" s="24">
        <v>1</v>
      </c>
    </row>
    <row r="173" spans="1:3" x14ac:dyDescent="0.25">
      <c r="A173">
        <v>172</v>
      </c>
      <c r="B173" t="s">
        <v>216</v>
      </c>
      <c r="C173" s="24">
        <v>1</v>
      </c>
    </row>
    <row r="174" spans="1:3" x14ac:dyDescent="0.25">
      <c r="A174">
        <v>173</v>
      </c>
      <c r="B174" t="s">
        <v>217</v>
      </c>
      <c r="C174" s="24">
        <v>2</v>
      </c>
    </row>
    <row r="175" spans="1:3" x14ac:dyDescent="0.25">
      <c r="A175">
        <v>174</v>
      </c>
      <c r="B175" t="s">
        <v>218</v>
      </c>
      <c r="C175" s="24">
        <v>1</v>
      </c>
    </row>
    <row r="176" spans="1:3" x14ac:dyDescent="0.25">
      <c r="A176">
        <v>175</v>
      </c>
      <c r="B176" t="s">
        <v>219</v>
      </c>
      <c r="C176" s="24">
        <v>2</v>
      </c>
    </row>
    <row r="177" spans="1:3" x14ac:dyDescent="0.25">
      <c r="A177">
        <v>176</v>
      </c>
      <c r="B177" t="s">
        <v>220</v>
      </c>
      <c r="C177" s="24">
        <v>1</v>
      </c>
    </row>
    <row r="178" spans="1:3" x14ac:dyDescent="0.25">
      <c r="A178">
        <v>177</v>
      </c>
      <c r="B178" t="s">
        <v>221</v>
      </c>
      <c r="C178" s="24">
        <v>2</v>
      </c>
    </row>
    <row r="179" spans="1:3" x14ac:dyDescent="0.25">
      <c r="A179">
        <v>178</v>
      </c>
      <c r="B179" t="s">
        <v>222</v>
      </c>
      <c r="C179" s="24">
        <v>1</v>
      </c>
    </row>
    <row r="180" spans="1:3" x14ac:dyDescent="0.25">
      <c r="A180">
        <v>179</v>
      </c>
      <c r="B180" t="s">
        <v>223</v>
      </c>
      <c r="C180" s="24">
        <v>1</v>
      </c>
    </row>
    <row r="181" spans="1:3" x14ac:dyDescent="0.25">
      <c r="A181">
        <v>180</v>
      </c>
      <c r="B181" t="s">
        <v>224</v>
      </c>
      <c r="C181" s="24">
        <v>1</v>
      </c>
    </row>
    <row r="182" spans="1:3" x14ac:dyDescent="0.25">
      <c r="A182">
        <v>181</v>
      </c>
      <c r="B182" t="s">
        <v>225</v>
      </c>
      <c r="C182" s="24">
        <v>4</v>
      </c>
    </row>
    <row r="183" spans="1:3" x14ac:dyDescent="0.25">
      <c r="A183">
        <v>182</v>
      </c>
      <c r="B183" t="s">
        <v>226</v>
      </c>
      <c r="C183" s="24">
        <v>2</v>
      </c>
    </row>
    <row r="184" spans="1:3" x14ac:dyDescent="0.25">
      <c r="A184">
        <v>183</v>
      </c>
      <c r="B184" t="s">
        <v>227</v>
      </c>
      <c r="C184" s="24">
        <v>2</v>
      </c>
    </row>
    <row r="185" spans="1:3" x14ac:dyDescent="0.25">
      <c r="A185">
        <v>184</v>
      </c>
      <c r="B185" t="s">
        <v>228</v>
      </c>
      <c r="C185" s="24">
        <v>1</v>
      </c>
    </row>
    <row r="186" spans="1:3" x14ac:dyDescent="0.25">
      <c r="A186">
        <v>185</v>
      </c>
      <c r="B186" t="s">
        <v>229</v>
      </c>
      <c r="C186" s="24">
        <v>1</v>
      </c>
    </row>
    <row r="187" spans="1:3" x14ac:dyDescent="0.25">
      <c r="A187">
        <v>186</v>
      </c>
      <c r="B187" t="s">
        <v>230</v>
      </c>
      <c r="C187" s="24">
        <v>4</v>
      </c>
    </row>
    <row r="188" spans="1:3" x14ac:dyDescent="0.25">
      <c r="A188">
        <v>187</v>
      </c>
      <c r="B188" t="s">
        <v>231</v>
      </c>
      <c r="C188" s="24">
        <v>1</v>
      </c>
    </row>
    <row r="189" spans="1:3" x14ac:dyDescent="0.25">
      <c r="A189">
        <v>188</v>
      </c>
      <c r="B189" t="s">
        <v>232</v>
      </c>
      <c r="C189" s="24">
        <v>1</v>
      </c>
    </row>
    <row r="190" spans="1:3" x14ac:dyDescent="0.25">
      <c r="A190">
        <v>189</v>
      </c>
      <c r="B190" t="s">
        <v>233</v>
      </c>
      <c r="C190" s="24">
        <v>1</v>
      </c>
    </row>
    <row r="191" spans="1:3" x14ac:dyDescent="0.25">
      <c r="A191">
        <v>190</v>
      </c>
      <c r="B191" t="s">
        <v>234</v>
      </c>
      <c r="C191" s="24">
        <v>3</v>
      </c>
    </row>
    <row r="192" spans="1:3" x14ac:dyDescent="0.25">
      <c r="A192">
        <v>191</v>
      </c>
      <c r="B192" t="s">
        <v>235</v>
      </c>
      <c r="C192" s="24">
        <v>1</v>
      </c>
    </row>
    <row r="193" spans="1:3" x14ac:dyDescent="0.25">
      <c r="A193">
        <v>192</v>
      </c>
      <c r="B193" t="s">
        <v>236</v>
      </c>
      <c r="C193" s="24">
        <v>1</v>
      </c>
    </row>
    <row r="194" spans="1:3" x14ac:dyDescent="0.25">
      <c r="A194">
        <v>193</v>
      </c>
      <c r="B194" t="s">
        <v>237</v>
      </c>
      <c r="C194" s="24">
        <v>6</v>
      </c>
    </row>
    <row r="195" spans="1:3" x14ac:dyDescent="0.25">
      <c r="A195">
        <v>194</v>
      </c>
      <c r="B195" t="s">
        <v>238</v>
      </c>
      <c r="C195" s="24">
        <v>6</v>
      </c>
    </row>
    <row r="196" spans="1:3" x14ac:dyDescent="0.25">
      <c r="A196">
        <v>195</v>
      </c>
      <c r="B196" t="s">
        <v>239</v>
      </c>
      <c r="C196" s="24">
        <v>1</v>
      </c>
    </row>
    <row r="197" spans="1:3" x14ac:dyDescent="0.25">
      <c r="A197">
        <v>196</v>
      </c>
      <c r="B197" t="s">
        <v>240</v>
      </c>
      <c r="C197" s="24">
        <v>1</v>
      </c>
    </row>
    <row r="198" spans="1:3" x14ac:dyDescent="0.25">
      <c r="A198">
        <v>197</v>
      </c>
      <c r="B198" t="s">
        <v>241</v>
      </c>
      <c r="C198" s="24">
        <v>5</v>
      </c>
    </row>
    <row r="199" spans="1:3" x14ac:dyDescent="0.25">
      <c r="A199">
        <v>198</v>
      </c>
      <c r="B199" t="s">
        <v>242</v>
      </c>
      <c r="C199" s="24">
        <v>1</v>
      </c>
    </row>
    <row r="200" spans="1:3" x14ac:dyDescent="0.25">
      <c r="A200">
        <v>199</v>
      </c>
      <c r="B200" t="s">
        <v>243</v>
      </c>
      <c r="C200" s="24">
        <v>4</v>
      </c>
    </row>
    <row r="201" spans="1:3" x14ac:dyDescent="0.25">
      <c r="A201">
        <v>200</v>
      </c>
      <c r="B201" t="s">
        <v>244</v>
      </c>
      <c r="C201" s="24">
        <v>4</v>
      </c>
    </row>
    <row r="202" spans="1:3" x14ac:dyDescent="0.25">
      <c r="A202">
        <v>201</v>
      </c>
      <c r="B202" t="s">
        <v>245</v>
      </c>
      <c r="C202" s="24">
        <v>1</v>
      </c>
    </row>
    <row r="203" spans="1:3" x14ac:dyDescent="0.25">
      <c r="A203">
        <v>202</v>
      </c>
      <c r="B203" t="s">
        <v>246</v>
      </c>
      <c r="C203" s="24">
        <v>1</v>
      </c>
    </row>
    <row r="204" spans="1:3" x14ac:dyDescent="0.25">
      <c r="A204">
        <v>203</v>
      </c>
      <c r="B204" t="s">
        <v>247</v>
      </c>
      <c r="C204" s="24">
        <v>4</v>
      </c>
    </row>
    <row r="205" spans="1:3" x14ac:dyDescent="0.25">
      <c r="A205">
        <v>204</v>
      </c>
      <c r="B205" t="s">
        <v>248</v>
      </c>
      <c r="C205" s="24">
        <v>2</v>
      </c>
    </row>
    <row r="206" spans="1:3" x14ac:dyDescent="0.25">
      <c r="A206">
        <v>205</v>
      </c>
      <c r="B206" t="s">
        <v>249</v>
      </c>
      <c r="C206" s="24">
        <v>3</v>
      </c>
    </row>
    <row r="207" spans="1:3" x14ac:dyDescent="0.25">
      <c r="A207">
        <v>206</v>
      </c>
      <c r="B207" t="s">
        <v>250</v>
      </c>
      <c r="C207" s="24">
        <v>1</v>
      </c>
    </row>
    <row r="208" spans="1:3" x14ac:dyDescent="0.25">
      <c r="A208">
        <v>207</v>
      </c>
      <c r="B208" t="s">
        <v>251</v>
      </c>
      <c r="C208" s="24">
        <v>1</v>
      </c>
    </row>
    <row r="209" spans="1:3" x14ac:dyDescent="0.25">
      <c r="A209">
        <v>208</v>
      </c>
      <c r="B209" t="s">
        <v>252</v>
      </c>
      <c r="C209" s="24">
        <v>4</v>
      </c>
    </row>
    <row r="210" spans="1:3" x14ac:dyDescent="0.25">
      <c r="A210">
        <v>209</v>
      </c>
      <c r="B210" t="s">
        <v>253</v>
      </c>
      <c r="C210" s="24">
        <v>2</v>
      </c>
    </row>
    <row r="211" spans="1:3" x14ac:dyDescent="0.25">
      <c r="A211">
        <v>210</v>
      </c>
      <c r="B211" t="s">
        <v>254</v>
      </c>
      <c r="C211" s="24">
        <v>1</v>
      </c>
    </row>
    <row r="212" spans="1:3" x14ac:dyDescent="0.25">
      <c r="A212">
        <v>211</v>
      </c>
      <c r="B212" t="s">
        <v>255</v>
      </c>
      <c r="C212" s="24">
        <v>2</v>
      </c>
    </row>
    <row r="213" spans="1:3" x14ac:dyDescent="0.25">
      <c r="A213">
        <v>212</v>
      </c>
      <c r="B213" t="s">
        <v>256</v>
      </c>
      <c r="C213" s="24">
        <v>1</v>
      </c>
    </row>
    <row r="214" spans="1:3" x14ac:dyDescent="0.25">
      <c r="A214">
        <v>213</v>
      </c>
      <c r="B214" t="s">
        <v>257</v>
      </c>
      <c r="C214" s="24">
        <v>3</v>
      </c>
    </row>
    <row r="215" spans="1:3" x14ac:dyDescent="0.25">
      <c r="A215">
        <v>214</v>
      </c>
      <c r="B215" t="s">
        <v>258</v>
      </c>
      <c r="C215" s="24">
        <v>2</v>
      </c>
    </row>
    <row r="216" spans="1:3" x14ac:dyDescent="0.25">
      <c r="A216">
        <v>215</v>
      </c>
      <c r="B216" t="s">
        <v>259</v>
      </c>
      <c r="C216" s="24">
        <v>5</v>
      </c>
    </row>
    <row r="217" spans="1:3" x14ac:dyDescent="0.25">
      <c r="A217">
        <v>216</v>
      </c>
      <c r="B217" t="s">
        <v>260</v>
      </c>
      <c r="C217" s="24">
        <v>3</v>
      </c>
    </row>
    <row r="218" spans="1:3" x14ac:dyDescent="0.25">
      <c r="A218">
        <v>217</v>
      </c>
      <c r="B218" t="s">
        <v>261</v>
      </c>
      <c r="C218" s="24">
        <v>1</v>
      </c>
    </row>
    <row r="219" spans="1:3" x14ac:dyDescent="0.25">
      <c r="A219">
        <v>218</v>
      </c>
      <c r="B219" t="s">
        <v>262</v>
      </c>
      <c r="C219" s="24">
        <v>1</v>
      </c>
    </row>
    <row r="220" spans="1:3" x14ac:dyDescent="0.25">
      <c r="A220">
        <v>219</v>
      </c>
      <c r="B220" t="s">
        <v>263</v>
      </c>
      <c r="C220" s="24">
        <v>2</v>
      </c>
    </row>
    <row r="221" spans="1:3" x14ac:dyDescent="0.25">
      <c r="A221">
        <v>220</v>
      </c>
      <c r="B221" t="s">
        <v>264</v>
      </c>
      <c r="C221" s="24">
        <v>3</v>
      </c>
    </row>
    <row r="222" spans="1:3" x14ac:dyDescent="0.25">
      <c r="A222">
        <v>221</v>
      </c>
      <c r="B222" t="s">
        <v>265</v>
      </c>
      <c r="C222" s="24">
        <v>5</v>
      </c>
    </row>
    <row r="223" spans="1:3" x14ac:dyDescent="0.25">
      <c r="A223">
        <v>222</v>
      </c>
      <c r="B223" t="s">
        <v>266</v>
      </c>
      <c r="C223" s="24">
        <v>1</v>
      </c>
    </row>
    <row r="224" spans="1:3" x14ac:dyDescent="0.25">
      <c r="A224">
        <v>223</v>
      </c>
      <c r="B224" t="s">
        <v>267</v>
      </c>
      <c r="C224" s="24">
        <v>1</v>
      </c>
    </row>
    <row r="225" spans="1:3" x14ac:dyDescent="0.25">
      <c r="A225">
        <v>224</v>
      </c>
      <c r="B225" t="s">
        <v>268</v>
      </c>
      <c r="C225" s="24">
        <v>1</v>
      </c>
    </row>
    <row r="226" spans="1:3" x14ac:dyDescent="0.25">
      <c r="A226">
        <v>225</v>
      </c>
      <c r="B226" t="s">
        <v>269</v>
      </c>
      <c r="C226" s="24">
        <v>1</v>
      </c>
    </row>
    <row r="227" spans="1:3" x14ac:dyDescent="0.25">
      <c r="A227">
        <v>226</v>
      </c>
      <c r="B227" t="s">
        <v>270</v>
      </c>
      <c r="C227" s="24">
        <v>1</v>
      </c>
    </row>
    <row r="228" spans="1:3" x14ac:dyDescent="0.25">
      <c r="A228">
        <v>227</v>
      </c>
      <c r="B228" t="s">
        <v>271</v>
      </c>
      <c r="C228" s="24">
        <v>1</v>
      </c>
    </row>
    <row r="229" spans="1:3" x14ac:dyDescent="0.25">
      <c r="A229">
        <v>228</v>
      </c>
      <c r="B229" t="s">
        <v>272</v>
      </c>
      <c r="C229" s="24">
        <v>1</v>
      </c>
    </row>
    <row r="230" spans="1:3" x14ac:dyDescent="0.25">
      <c r="A230">
        <v>229</v>
      </c>
      <c r="B230" t="s">
        <v>273</v>
      </c>
      <c r="C230" s="24">
        <v>5</v>
      </c>
    </row>
    <row r="231" spans="1:3" x14ac:dyDescent="0.25">
      <c r="A231">
        <v>230</v>
      </c>
      <c r="B231" t="s">
        <v>274</v>
      </c>
      <c r="C231" s="24">
        <v>1</v>
      </c>
    </row>
    <row r="232" spans="1:3" x14ac:dyDescent="0.25">
      <c r="A232">
        <v>231</v>
      </c>
      <c r="B232" t="s">
        <v>275</v>
      </c>
      <c r="C232" s="24">
        <v>1</v>
      </c>
    </row>
    <row r="233" spans="1:3" x14ac:dyDescent="0.25">
      <c r="A233">
        <v>232</v>
      </c>
      <c r="B233" t="s">
        <v>276</v>
      </c>
      <c r="C233" s="24">
        <v>1</v>
      </c>
    </row>
    <row r="234" spans="1:3" x14ac:dyDescent="0.25">
      <c r="A234">
        <v>233</v>
      </c>
      <c r="B234" t="s">
        <v>277</v>
      </c>
      <c r="C234" s="24">
        <v>1</v>
      </c>
    </row>
    <row r="235" spans="1:3" x14ac:dyDescent="0.25">
      <c r="A235">
        <v>234</v>
      </c>
      <c r="B235" t="s">
        <v>278</v>
      </c>
      <c r="C235" s="24">
        <v>1</v>
      </c>
    </row>
    <row r="236" spans="1:3" x14ac:dyDescent="0.25">
      <c r="A236">
        <v>235</v>
      </c>
      <c r="B236" t="s">
        <v>279</v>
      </c>
      <c r="C236" s="24">
        <v>1</v>
      </c>
    </row>
    <row r="237" spans="1:3" x14ac:dyDescent="0.25">
      <c r="A237">
        <v>236</v>
      </c>
      <c r="B237" t="s">
        <v>280</v>
      </c>
      <c r="C237" s="24">
        <v>1</v>
      </c>
    </row>
    <row r="238" spans="1:3" x14ac:dyDescent="0.25">
      <c r="A238">
        <v>237</v>
      </c>
      <c r="B238" t="s">
        <v>281</v>
      </c>
      <c r="C238" s="24">
        <v>1</v>
      </c>
    </row>
    <row r="239" spans="1:3" x14ac:dyDescent="0.25">
      <c r="A239">
        <v>238</v>
      </c>
      <c r="B239" t="s">
        <v>282</v>
      </c>
      <c r="C239" s="24">
        <v>2</v>
      </c>
    </row>
    <row r="240" spans="1:3" x14ac:dyDescent="0.25">
      <c r="A240">
        <v>239</v>
      </c>
      <c r="B240" t="s">
        <v>283</v>
      </c>
      <c r="C240" s="24">
        <v>5</v>
      </c>
    </row>
    <row r="241" spans="1:3" x14ac:dyDescent="0.25">
      <c r="A241">
        <v>240</v>
      </c>
      <c r="B241" t="s">
        <v>284</v>
      </c>
      <c r="C241" s="24">
        <v>6</v>
      </c>
    </row>
    <row r="242" spans="1:3" x14ac:dyDescent="0.25">
      <c r="A242">
        <v>241</v>
      </c>
      <c r="B242" t="s">
        <v>285</v>
      </c>
      <c r="C242" s="24">
        <v>5</v>
      </c>
    </row>
    <row r="243" spans="1:3" x14ac:dyDescent="0.25">
      <c r="A243">
        <v>242</v>
      </c>
      <c r="B243" t="s">
        <v>286</v>
      </c>
      <c r="C243" s="24">
        <v>1</v>
      </c>
    </row>
    <row r="244" spans="1:3" x14ac:dyDescent="0.25">
      <c r="A244">
        <v>243</v>
      </c>
      <c r="B244" t="s">
        <v>287</v>
      </c>
      <c r="C244" s="24">
        <v>1</v>
      </c>
    </row>
    <row r="245" spans="1:3" x14ac:dyDescent="0.25">
      <c r="A245">
        <v>244</v>
      </c>
      <c r="B245" t="s">
        <v>288</v>
      </c>
      <c r="C245" s="24">
        <v>2</v>
      </c>
    </row>
    <row r="246" spans="1:3" x14ac:dyDescent="0.25">
      <c r="A246">
        <v>245</v>
      </c>
      <c r="B246" t="s">
        <v>289</v>
      </c>
      <c r="C246" s="24">
        <v>2</v>
      </c>
    </row>
    <row r="247" spans="1:3" x14ac:dyDescent="0.25">
      <c r="A247">
        <v>246</v>
      </c>
      <c r="B247" t="s">
        <v>290</v>
      </c>
      <c r="C247" s="24">
        <v>3</v>
      </c>
    </row>
    <row r="248" spans="1:3" x14ac:dyDescent="0.25">
      <c r="A248">
        <v>247</v>
      </c>
      <c r="B248" t="s">
        <v>291</v>
      </c>
      <c r="C248" s="24">
        <v>1</v>
      </c>
    </row>
    <row r="249" spans="1:3" x14ac:dyDescent="0.25">
      <c r="A249">
        <v>248</v>
      </c>
      <c r="B249" t="s">
        <v>292</v>
      </c>
      <c r="C249" s="24">
        <v>1</v>
      </c>
    </row>
    <row r="250" spans="1:3" x14ac:dyDescent="0.25">
      <c r="A250">
        <v>249</v>
      </c>
      <c r="B250" t="s">
        <v>293</v>
      </c>
      <c r="C250" s="24">
        <v>1</v>
      </c>
    </row>
    <row r="251" spans="1:3" x14ac:dyDescent="0.25">
      <c r="A251">
        <v>250</v>
      </c>
      <c r="B251" t="s">
        <v>294</v>
      </c>
      <c r="C251" s="24">
        <v>1</v>
      </c>
    </row>
    <row r="252" spans="1:3" x14ac:dyDescent="0.25">
      <c r="A252">
        <v>251</v>
      </c>
      <c r="B252" t="s">
        <v>295</v>
      </c>
      <c r="C252" s="24">
        <v>1</v>
      </c>
    </row>
    <row r="253" spans="1:3" x14ac:dyDescent="0.25">
      <c r="A253">
        <v>252</v>
      </c>
      <c r="B253" t="s">
        <v>296</v>
      </c>
      <c r="C253" s="24">
        <v>5</v>
      </c>
    </row>
    <row r="254" spans="1:3" x14ac:dyDescent="0.25">
      <c r="A254">
        <v>253</v>
      </c>
      <c r="B254" t="s">
        <v>297</v>
      </c>
      <c r="C254" s="24">
        <v>1</v>
      </c>
    </row>
    <row r="255" spans="1:3" x14ac:dyDescent="0.25">
      <c r="A255">
        <v>254</v>
      </c>
      <c r="B255" t="s">
        <v>298</v>
      </c>
      <c r="C255" s="24">
        <v>2</v>
      </c>
    </row>
    <row r="256" spans="1:3" x14ac:dyDescent="0.25">
      <c r="A256">
        <v>255</v>
      </c>
      <c r="B256" t="s">
        <v>299</v>
      </c>
      <c r="C256" s="24">
        <v>3</v>
      </c>
    </row>
    <row r="257" spans="1:3" x14ac:dyDescent="0.25">
      <c r="A257">
        <v>256</v>
      </c>
      <c r="B257" t="s">
        <v>300</v>
      </c>
      <c r="C257" s="24">
        <v>3</v>
      </c>
    </row>
    <row r="258" spans="1:3" x14ac:dyDescent="0.25">
      <c r="A258">
        <v>257</v>
      </c>
      <c r="B258" t="s">
        <v>301</v>
      </c>
      <c r="C258" s="24">
        <v>1</v>
      </c>
    </row>
    <row r="259" spans="1:3" x14ac:dyDescent="0.25">
      <c r="A259">
        <v>258</v>
      </c>
      <c r="B259" t="s">
        <v>302</v>
      </c>
      <c r="C259" s="24">
        <v>1</v>
      </c>
    </row>
    <row r="260" spans="1:3" x14ac:dyDescent="0.25">
      <c r="A260">
        <v>259</v>
      </c>
      <c r="B260" t="s">
        <v>303</v>
      </c>
      <c r="C260" s="24">
        <v>3</v>
      </c>
    </row>
    <row r="261" spans="1:3" x14ac:dyDescent="0.25">
      <c r="A261">
        <v>260</v>
      </c>
      <c r="B261" t="s">
        <v>304</v>
      </c>
      <c r="C261" s="24">
        <v>1</v>
      </c>
    </row>
    <row r="262" spans="1:3" x14ac:dyDescent="0.25">
      <c r="A262">
        <v>261</v>
      </c>
      <c r="B262" t="s">
        <v>305</v>
      </c>
      <c r="C262" s="24">
        <v>1</v>
      </c>
    </row>
    <row r="263" spans="1:3" x14ac:dyDescent="0.25">
      <c r="A263">
        <v>262</v>
      </c>
      <c r="B263" t="s">
        <v>306</v>
      </c>
      <c r="C263" s="24">
        <v>1</v>
      </c>
    </row>
    <row r="264" spans="1:3" x14ac:dyDescent="0.25">
      <c r="A264">
        <v>263</v>
      </c>
      <c r="B264" t="s">
        <v>307</v>
      </c>
      <c r="C264" s="24">
        <v>3</v>
      </c>
    </row>
    <row r="265" spans="1:3" x14ac:dyDescent="0.25">
      <c r="A265">
        <v>264</v>
      </c>
      <c r="B265" t="s">
        <v>308</v>
      </c>
      <c r="C265" s="24">
        <v>1</v>
      </c>
    </row>
    <row r="266" spans="1:3" x14ac:dyDescent="0.25">
      <c r="A266">
        <v>265</v>
      </c>
      <c r="B266" t="s">
        <v>309</v>
      </c>
      <c r="C266" s="24">
        <v>1</v>
      </c>
    </row>
    <row r="267" spans="1:3" x14ac:dyDescent="0.25">
      <c r="A267">
        <v>266</v>
      </c>
      <c r="B267" t="s">
        <v>310</v>
      </c>
      <c r="C267" s="24">
        <v>2</v>
      </c>
    </row>
    <row r="268" spans="1:3" x14ac:dyDescent="0.25">
      <c r="A268">
        <v>267</v>
      </c>
      <c r="B268" t="s">
        <v>311</v>
      </c>
      <c r="C268" s="24">
        <v>1</v>
      </c>
    </row>
    <row r="269" spans="1:3" x14ac:dyDescent="0.25">
      <c r="A269">
        <v>268</v>
      </c>
      <c r="B269" t="s">
        <v>312</v>
      </c>
      <c r="C269" s="24">
        <v>1</v>
      </c>
    </row>
    <row r="270" spans="1:3" x14ac:dyDescent="0.25">
      <c r="A270">
        <v>269</v>
      </c>
      <c r="B270" t="s">
        <v>313</v>
      </c>
      <c r="C270" s="24">
        <v>1</v>
      </c>
    </row>
    <row r="271" spans="1:3" x14ac:dyDescent="0.25">
      <c r="A271">
        <v>270</v>
      </c>
      <c r="B271" t="s">
        <v>314</v>
      </c>
      <c r="C271" s="24">
        <v>3</v>
      </c>
    </row>
    <row r="272" spans="1:3" x14ac:dyDescent="0.25">
      <c r="A272">
        <v>271</v>
      </c>
      <c r="B272" t="s">
        <v>315</v>
      </c>
      <c r="C272" s="24">
        <v>1</v>
      </c>
    </row>
    <row r="273" spans="1:3" x14ac:dyDescent="0.25">
      <c r="A273">
        <v>272</v>
      </c>
      <c r="B273" t="s">
        <v>316</v>
      </c>
      <c r="C273" s="24">
        <v>4</v>
      </c>
    </row>
    <row r="274" spans="1:3" x14ac:dyDescent="0.25">
      <c r="A274">
        <v>273</v>
      </c>
      <c r="B274" t="s">
        <v>317</v>
      </c>
      <c r="C274" s="24">
        <v>1</v>
      </c>
    </row>
    <row r="275" spans="1:3" x14ac:dyDescent="0.25">
      <c r="A275">
        <v>274</v>
      </c>
      <c r="B275" t="s">
        <v>318</v>
      </c>
      <c r="C275" s="24">
        <v>2</v>
      </c>
    </row>
    <row r="276" spans="1:3" x14ac:dyDescent="0.25">
      <c r="A276">
        <v>275</v>
      </c>
      <c r="B276" t="s">
        <v>319</v>
      </c>
      <c r="C276" s="24">
        <v>6</v>
      </c>
    </row>
    <row r="277" spans="1:3" x14ac:dyDescent="0.25">
      <c r="A277">
        <v>276</v>
      </c>
      <c r="B277" t="s">
        <v>320</v>
      </c>
      <c r="C277" s="24">
        <v>4</v>
      </c>
    </row>
    <row r="278" spans="1:3" x14ac:dyDescent="0.25">
      <c r="A278">
        <v>277</v>
      </c>
      <c r="B278" t="s">
        <v>321</v>
      </c>
      <c r="C278" s="24">
        <v>1</v>
      </c>
    </row>
    <row r="279" spans="1:3" x14ac:dyDescent="0.25">
      <c r="A279">
        <v>278</v>
      </c>
      <c r="B279" t="s">
        <v>322</v>
      </c>
      <c r="C279" s="24">
        <v>1</v>
      </c>
    </row>
    <row r="280" spans="1:3" x14ac:dyDescent="0.25">
      <c r="A280">
        <v>279</v>
      </c>
      <c r="B280" t="s">
        <v>323</v>
      </c>
      <c r="C280" s="24">
        <v>4</v>
      </c>
    </row>
    <row r="281" spans="1:3" x14ac:dyDescent="0.25">
      <c r="A281">
        <v>280</v>
      </c>
      <c r="B281" t="s">
        <v>324</v>
      </c>
      <c r="C281" s="24">
        <v>1</v>
      </c>
    </row>
    <row r="282" spans="1:3" x14ac:dyDescent="0.25">
      <c r="A282">
        <v>281</v>
      </c>
      <c r="B282" t="s">
        <v>325</v>
      </c>
      <c r="C282" s="24">
        <v>1</v>
      </c>
    </row>
    <row r="283" spans="1:3" x14ac:dyDescent="0.25">
      <c r="A283">
        <v>282</v>
      </c>
      <c r="B283" t="s">
        <v>326</v>
      </c>
      <c r="C283" s="24">
        <v>1</v>
      </c>
    </row>
    <row r="284" spans="1:3" x14ac:dyDescent="0.25">
      <c r="A284">
        <v>283</v>
      </c>
      <c r="B284" t="s">
        <v>327</v>
      </c>
      <c r="C284" s="24">
        <v>3</v>
      </c>
    </row>
    <row r="285" spans="1:3" x14ac:dyDescent="0.25">
      <c r="A285">
        <v>284</v>
      </c>
      <c r="B285" t="s">
        <v>328</v>
      </c>
      <c r="C285" s="24">
        <v>1</v>
      </c>
    </row>
    <row r="286" spans="1:3" x14ac:dyDescent="0.25">
      <c r="A286">
        <v>285</v>
      </c>
      <c r="B286" t="s">
        <v>329</v>
      </c>
      <c r="C286" s="24">
        <v>1</v>
      </c>
    </row>
    <row r="287" spans="1:3" x14ac:dyDescent="0.25">
      <c r="A287">
        <v>286</v>
      </c>
      <c r="B287" t="s">
        <v>330</v>
      </c>
      <c r="C287" s="24">
        <v>1</v>
      </c>
    </row>
    <row r="288" spans="1:3" x14ac:dyDescent="0.25">
      <c r="A288">
        <v>287</v>
      </c>
      <c r="B288" t="s">
        <v>331</v>
      </c>
      <c r="C288" s="24">
        <v>1</v>
      </c>
    </row>
    <row r="289" spans="1:3" x14ac:dyDescent="0.25">
      <c r="A289">
        <v>288</v>
      </c>
      <c r="B289" t="s">
        <v>332</v>
      </c>
      <c r="C289" s="24">
        <v>4</v>
      </c>
    </row>
    <row r="290" spans="1:3" x14ac:dyDescent="0.25">
      <c r="A290">
        <v>289</v>
      </c>
      <c r="B290" t="s">
        <v>333</v>
      </c>
      <c r="C290" s="24">
        <v>2</v>
      </c>
    </row>
    <row r="291" spans="1:3" x14ac:dyDescent="0.25">
      <c r="A291">
        <v>290</v>
      </c>
      <c r="B291" t="s">
        <v>334</v>
      </c>
      <c r="C291" s="24">
        <v>1</v>
      </c>
    </row>
    <row r="292" spans="1:3" x14ac:dyDescent="0.25">
      <c r="A292">
        <v>291</v>
      </c>
      <c r="B292" t="s">
        <v>335</v>
      </c>
      <c r="C292" s="24">
        <v>1</v>
      </c>
    </row>
    <row r="293" spans="1:3" x14ac:dyDescent="0.25">
      <c r="A293">
        <v>292</v>
      </c>
      <c r="B293" t="s">
        <v>336</v>
      </c>
      <c r="C293" s="24">
        <v>2</v>
      </c>
    </row>
    <row r="294" spans="1:3" x14ac:dyDescent="0.25">
      <c r="A294">
        <v>293</v>
      </c>
      <c r="B294" t="s">
        <v>337</v>
      </c>
      <c r="C294" s="24">
        <v>3</v>
      </c>
    </row>
    <row r="295" spans="1:3" x14ac:dyDescent="0.25">
      <c r="A295">
        <v>294</v>
      </c>
      <c r="B295" t="s">
        <v>338</v>
      </c>
      <c r="C295" s="24">
        <v>1</v>
      </c>
    </row>
    <row r="296" spans="1:3" x14ac:dyDescent="0.25">
      <c r="A296">
        <v>295</v>
      </c>
      <c r="B296" t="s">
        <v>339</v>
      </c>
      <c r="C296" s="24">
        <v>1</v>
      </c>
    </row>
    <row r="297" spans="1:3" x14ac:dyDescent="0.25">
      <c r="A297">
        <v>296</v>
      </c>
      <c r="B297" t="s">
        <v>340</v>
      </c>
      <c r="C297" s="24">
        <v>1</v>
      </c>
    </row>
    <row r="298" spans="1:3" x14ac:dyDescent="0.25">
      <c r="A298">
        <v>297</v>
      </c>
      <c r="B298" t="s">
        <v>341</v>
      </c>
      <c r="C298" s="24">
        <v>6</v>
      </c>
    </row>
    <row r="299" spans="1:3" x14ac:dyDescent="0.25">
      <c r="A299">
        <v>298</v>
      </c>
      <c r="B299" t="s">
        <v>342</v>
      </c>
      <c r="C299" s="24">
        <v>1</v>
      </c>
    </row>
    <row r="300" spans="1:3" x14ac:dyDescent="0.25">
      <c r="A300">
        <v>299</v>
      </c>
      <c r="B300" t="s">
        <v>343</v>
      </c>
      <c r="C300" s="24">
        <v>1</v>
      </c>
    </row>
    <row r="301" spans="1:3" x14ac:dyDescent="0.25">
      <c r="A301">
        <v>300</v>
      </c>
      <c r="B301" t="s">
        <v>344</v>
      </c>
      <c r="C301" s="24">
        <v>1</v>
      </c>
    </row>
    <row r="302" spans="1:3" x14ac:dyDescent="0.25">
      <c r="A302">
        <v>301</v>
      </c>
      <c r="B302" t="s">
        <v>345</v>
      </c>
      <c r="C302" s="24">
        <v>1</v>
      </c>
    </row>
    <row r="303" spans="1:3" x14ac:dyDescent="0.25">
      <c r="A303">
        <v>302</v>
      </c>
      <c r="B303" t="s">
        <v>346</v>
      </c>
      <c r="C303" s="24">
        <v>4</v>
      </c>
    </row>
    <row r="304" spans="1:3" x14ac:dyDescent="0.25">
      <c r="A304">
        <v>303</v>
      </c>
      <c r="B304" t="s">
        <v>347</v>
      </c>
      <c r="C304" s="24">
        <v>1</v>
      </c>
    </row>
    <row r="305" spans="1:3" x14ac:dyDescent="0.25">
      <c r="A305">
        <v>304</v>
      </c>
      <c r="B305" t="s">
        <v>348</v>
      </c>
      <c r="C305" s="24">
        <v>1</v>
      </c>
    </row>
    <row r="306" spans="1:3" x14ac:dyDescent="0.25">
      <c r="A306">
        <v>305</v>
      </c>
      <c r="B306" t="s">
        <v>349</v>
      </c>
      <c r="C306" s="24">
        <v>1</v>
      </c>
    </row>
    <row r="307" spans="1:3" x14ac:dyDescent="0.25">
      <c r="A307">
        <v>306</v>
      </c>
      <c r="B307" t="s">
        <v>350</v>
      </c>
      <c r="C307" s="24">
        <v>1</v>
      </c>
    </row>
    <row r="308" spans="1:3" x14ac:dyDescent="0.25">
      <c r="A308">
        <v>307</v>
      </c>
      <c r="B308" t="s">
        <v>351</v>
      </c>
      <c r="C308" s="24">
        <v>4</v>
      </c>
    </row>
    <row r="309" spans="1:3" x14ac:dyDescent="0.25">
      <c r="A309">
        <v>308</v>
      </c>
      <c r="B309" t="s">
        <v>352</v>
      </c>
      <c r="C309" s="24">
        <v>1</v>
      </c>
    </row>
    <row r="310" spans="1:3" x14ac:dyDescent="0.25">
      <c r="A310">
        <v>309</v>
      </c>
      <c r="B310" t="s">
        <v>353</v>
      </c>
      <c r="C310" s="24">
        <v>1</v>
      </c>
    </row>
    <row r="311" spans="1:3" x14ac:dyDescent="0.25">
      <c r="A311">
        <v>310</v>
      </c>
      <c r="B311" t="s">
        <v>354</v>
      </c>
      <c r="C311" s="24">
        <v>1</v>
      </c>
    </row>
    <row r="312" spans="1:3" x14ac:dyDescent="0.25">
      <c r="A312">
        <v>311</v>
      </c>
      <c r="B312" t="s">
        <v>355</v>
      </c>
      <c r="C312" s="24">
        <v>1</v>
      </c>
    </row>
    <row r="313" spans="1:3" x14ac:dyDescent="0.25">
      <c r="A313">
        <v>312</v>
      </c>
      <c r="B313" t="s">
        <v>356</v>
      </c>
      <c r="C313" s="24">
        <v>2</v>
      </c>
    </row>
    <row r="314" spans="1:3" x14ac:dyDescent="0.25">
      <c r="A314">
        <v>313</v>
      </c>
      <c r="B314" t="s">
        <v>357</v>
      </c>
      <c r="C314" s="24">
        <v>1</v>
      </c>
    </row>
    <row r="315" spans="1:3" x14ac:dyDescent="0.25">
      <c r="A315">
        <v>314</v>
      </c>
      <c r="B315" t="s">
        <v>358</v>
      </c>
      <c r="C315" s="24">
        <v>1</v>
      </c>
    </row>
    <row r="316" spans="1:3" x14ac:dyDescent="0.25">
      <c r="A316">
        <v>315</v>
      </c>
      <c r="B316" t="s">
        <v>359</v>
      </c>
      <c r="C316" s="24">
        <v>1</v>
      </c>
    </row>
    <row r="317" spans="1:3" x14ac:dyDescent="0.25">
      <c r="A317">
        <v>316</v>
      </c>
      <c r="B317" t="s">
        <v>360</v>
      </c>
      <c r="C317" s="24">
        <v>1</v>
      </c>
    </row>
    <row r="318" spans="1:3" x14ac:dyDescent="0.25">
      <c r="A318">
        <v>317</v>
      </c>
      <c r="B318" t="s">
        <v>361</v>
      </c>
      <c r="C318" s="24">
        <v>1</v>
      </c>
    </row>
    <row r="319" spans="1:3" x14ac:dyDescent="0.25">
      <c r="A319">
        <v>318</v>
      </c>
      <c r="B319" t="s">
        <v>362</v>
      </c>
      <c r="C319" s="24">
        <v>4</v>
      </c>
    </row>
    <row r="320" spans="1:3" x14ac:dyDescent="0.25">
      <c r="A320">
        <v>319</v>
      </c>
      <c r="B320" t="s">
        <v>363</v>
      </c>
      <c r="C320" s="24">
        <v>1</v>
      </c>
    </row>
    <row r="321" spans="1:3" x14ac:dyDescent="0.25">
      <c r="A321">
        <v>320</v>
      </c>
      <c r="B321" t="s">
        <v>364</v>
      </c>
      <c r="C321" s="24">
        <v>1</v>
      </c>
    </row>
    <row r="322" spans="1:3" x14ac:dyDescent="0.25">
      <c r="A322">
        <v>321</v>
      </c>
      <c r="B322" t="s">
        <v>365</v>
      </c>
      <c r="C322" s="24">
        <v>6</v>
      </c>
    </row>
    <row r="323" spans="1:3" x14ac:dyDescent="0.25">
      <c r="A323">
        <v>322</v>
      </c>
      <c r="B323" t="s">
        <v>366</v>
      </c>
      <c r="C323" s="24">
        <v>1</v>
      </c>
    </row>
    <row r="324" spans="1:3" x14ac:dyDescent="0.25">
      <c r="A324">
        <v>323</v>
      </c>
      <c r="B324" t="s">
        <v>367</v>
      </c>
      <c r="C324" s="24">
        <v>4</v>
      </c>
    </row>
    <row r="325" spans="1:3" x14ac:dyDescent="0.25">
      <c r="A325">
        <v>324</v>
      </c>
      <c r="B325" t="s">
        <v>368</v>
      </c>
      <c r="C325" s="24">
        <v>1</v>
      </c>
    </row>
    <row r="326" spans="1:3" x14ac:dyDescent="0.25">
      <c r="A326">
        <v>325</v>
      </c>
      <c r="B326" t="s">
        <v>369</v>
      </c>
      <c r="C326" s="24">
        <v>1</v>
      </c>
    </row>
    <row r="327" spans="1:3" x14ac:dyDescent="0.25">
      <c r="A327">
        <v>326</v>
      </c>
      <c r="B327" t="s">
        <v>370</v>
      </c>
      <c r="C327" s="24">
        <v>2</v>
      </c>
    </row>
    <row r="328" spans="1:3" x14ac:dyDescent="0.25">
      <c r="A328">
        <v>327</v>
      </c>
      <c r="B328" t="s">
        <v>371</v>
      </c>
      <c r="C328" s="24">
        <v>4</v>
      </c>
    </row>
    <row r="329" spans="1:3" x14ac:dyDescent="0.25">
      <c r="A329">
        <v>328</v>
      </c>
      <c r="B329" t="s">
        <v>372</v>
      </c>
      <c r="C329" s="24">
        <v>4</v>
      </c>
    </row>
    <row r="330" spans="1:3" x14ac:dyDescent="0.25">
      <c r="A330">
        <v>329</v>
      </c>
      <c r="B330" t="s">
        <v>373</v>
      </c>
      <c r="C330" s="24">
        <v>1</v>
      </c>
    </row>
    <row r="331" spans="1:3" x14ac:dyDescent="0.25">
      <c r="A331">
        <v>330</v>
      </c>
      <c r="B331" t="s">
        <v>374</v>
      </c>
      <c r="C331" s="24">
        <v>1</v>
      </c>
    </row>
    <row r="332" spans="1:3" x14ac:dyDescent="0.25">
      <c r="A332">
        <v>331</v>
      </c>
      <c r="B332" t="s">
        <v>375</v>
      </c>
      <c r="C332" s="24">
        <v>1</v>
      </c>
    </row>
    <row r="333" spans="1:3" x14ac:dyDescent="0.25">
      <c r="A333">
        <v>332</v>
      </c>
      <c r="B333" t="s">
        <v>376</v>
      </c>
      <c r="C333" s="24">
        <v>3</v>
      </c>
    </row>
    <row r="334" spans="1:3" x14ac:dyDescent="0.25">
      <c r="A334">
        <v>333</v>
      </c>
      <c r="B334" t="s">
        <v>377</v>
      </c>
      <c r="C334" s="24">
        <v>1</v>
      </c>
    </row>
    <row r="335" spans="1:3" x14ac:dyDescent="0.25">
      <c r="A335">
        <v>334</v>
      </c>
      <c r="B335" t="s">
        <v>378</v>
      </c>
      <c r="C335" s="24">
        <v>3</v>
      </c>
    </row>
    <row r="336" spans="1:3" x14ac:dyDescent="0.25">
      <c r="A336">
        <v>335</v>
      </c>
      <c r="B336" t="s">
        <v>379</v>
      </c>
      <c r="C336" s="24">
        <v>1</v>
      </c>
    </row>
    <row r="337" spans="1:3" x14ac:dyDescent="0.25">
      <c r="A337">
        <v>336</v>
      </c>
      <c r="B337" t="s">
        <v>380</v>
      </c>
      <c r="C337" s="24">
        <v>1</v>
      </c>
    </row>
    <row r="338" spans="1:3" x14ac:dyDescent="0.25">
      <c r="A338">
        <v>337</v>
      </c>
      <c r="B338" t="s">
        <v>381</v>
      </c>
      <c r="C338" s="24">
        <v>1</v>
      </c>
    </row>
    <row r="339" spans="1:3" x14ac:dyDescent="0.25">
      <c r="A339">
        <v>338</v>
      </c>
      <c r="B339" t="s">
        <v>382</v>
      </c>
      <c r="C339" s="24">
        <v>1</v>
      </c>
    </row>
    <row r="340" spans="1:3" x14ac:dyDescent="0.25">
      <c r="A340">
        <v>339</v>
      </c>
      <c r="B340" t="s">
        <v>383</v>
      </c>
      <c r="C340" s="24">
        <v>1</v>
      </c>
    </row>
    <row r="341" spans="1:3" x14ac:dyDescent="0.25">
      <c r="A341">
        <v>340</v>
      </c>
      <c r="B341" t="s">
        <v>384</v>
      </c>
      <c r="C341" s="24">
        <v>1</v>
      </c>
    </row>
    <row r="342" spans="1:3" x14ac:dyDescent="0.25">
      <c r="A342">
        <v>341</v>
      </c>
      <c r="B342" t="s">
        <v>385</v>
      </c>
      <c r="C342" s="24">
        <v>1</v>
      </c>
    </row>
    <row r="343" spans="1:3" x14ac:dyDescent="0.25">
      <c r="A343">
        <v>342</v>
      </c>
      <c r="B343" t="s">
        <v>386</v>
      </c>
      <c r="C343" s="24">
        <v>1</v>
      </c>
    </row>
    <row r="344" spans="1:3" x14ac:dyDescent="0.25">
      <c r="A344">
        <v>343</v>
      </c>
      <c r="B344" t="s">
        <v>387</v>
      </c>
      <c r="C344" s="24">
        <v>3</v>
      </c>
    </row>
    <row r="345" spans="1:3" x14ac:dyDescent="0.25">
      <c r="A345">
        <v>344</v>
      </c>
      <c r="B345" t="s">
        <v>388</v>
      </c>
      <c r="C345" s="24">
        <v>2</v>
      </c>
    </row>
    <row r="346" spans="1:3" x14ac:dyDescent="0.25">
      <c r="A346">
        <v>345</v>
      </c>
      <c r="B346" t="s">
        <v>389</v>
      </c>
      <c r="C346" s="24">
        <v>1</v>
      </c>
    </row>
    <row r="347" spans="1:3" x14ac:dyDescent="0.25">
      <c r="A347">
        <v>346</v>
      </c>
      <c r="B347" t="s">
        <v>390</v>
      </c>
      <c r="C347" s="24">
        <v>1</v>
      </c>
    </row>
    <row r="348" spans="1:3" x14ac:dyDescent="0.25">
      <c r="A348">
        <v>347</v>
      </c>
      <c r="B348" t="s">
        <v>391</v>
      </c>
      <c r="C348" s="24">
        <v>1</v>
      </c>
    </row>
    <row r="349" spans="1:3" x14ac:dyDescent="0.25">
      <c r="A349">
        <v>348</v>
      </c>
      <c r="B349" t="s">
        <v>392</v>
      </c>
      <c r="C349" s="24">
        <v>1</v>
      </c>
    </row>
    <row r="350" spans="1:3" x14ac:dyDescent="0.25">
      <c r="A350">
        <v>349</v>
      </c>
      <c r="B350" t="s">
        <v>393</v>
      </c>
      <c r="C350" s="24">
        <v>2</v>
      </c>
    </row>
    <row r="351" spans="1:3" x14ac:dyDescent="0.25">
      <c r="A351">
        <v>350</v>
      </c>
      <c r="B351" t="s">
        <v>394</v>
      </c>
      <c r="C351" s="24">
        <v>1</v>
      </c>
    </row>
    <row r="352" spans="1:3" x14ac:dyDescent="0.25">
      <c r="A352">
        <v>351</v>
      </c>
      <c r="B352" t="s">
        <v>395</v>
      </c>
      <c r="C352" s="24">
        <v>4</v>
      </c>
    </row>
    <row r="353" spans="1:3" x14ac:dyDescent="0.25">
      <c r="A353">
        <v>352</v>
      </c>
      <c r="B353" t="s">
        <v>396</v>
      </c>
      <c r="C353" s="24">
        <v>1</v>
      </c>
    </row>
    <row r="354" spans="1:3" x14ac:dyDescent="0.25">
      <c r="A354">
        <v>353</v>
      </c>
      <c r="B354" t="s">
        <v>397</v>
      </c>
      <c r="C354" s="24">
        <v>1</v>
      </c>
    </row>
    <row r="355" spans="1:3" x14ac:dyDescent="0.25">
      <c r="A355">
        <v>354</v>
      </c>
      <c r="B355" t="s">
        <v>398</v>
      </c>
      <c r="C355" s="24">
        <v>1</v>
      </c>
    </row>
    <row r="356" spans="1:3" x14ac:dyDescent="0.25">
      <c r="A356">
        <v>355</v>
      </c>
      <c r="B356" t="s">
        <v>399</v>
      </c>
      <c r="C356" s="24">
        <v>6</v>
      </c>
    </row>
    <row r="357" spans="1:3" x14ac:dyDescent="0.25">
      <c r="A357">
        <v>356</v>
      </c>
      <c r="B357" t="s">
        <v>400</v>
      </c>
      <c r="C357" s="24">
        <v>1</v>
      </c>
    </row>
    <row r="358" spans="1:3" x14ac:dyDescent="0.25">
      <c r="A358">
        <v>357</v>
      </c>
      <c r="B358" t="s">
        <v>401</v>
      </c>
      <c r="C358" s="24">
        <v>6</v>
      </c>
    </row>
    <row r="359" spans="1:3" x14ac:dyDescent="0.25">
      <c r="A359">
        <v>358</v>
      </c>
      <c r="B359" t="s">
        <v>402</v>
      </c>
      <c r="C359" s="24">
        <v>4</v>
      </c>
    </row>
    <row r="360" spans="1:3" x14ac:dyDescent="0.25">
      <c r="A360">
        <v>359</v>
      </c>
      <c r="B360" t="s">
        <v>403</v>
      </c>
      <c r="C360" s="24">
        <v>1</v>
      </c>
    </row>
    <row r="361" spans="1:3" x14ac:dyDescent="0.25">
      <c r="A361">
        <v>360</v>
      </c>
      <c r="B361" t="s">
        <v>404</v>
      </c>
      <c r="C361" s="24">
        <v>1</v>
      </c>
    </row>
    <row r="362" spans="1:3" x14ac:dyDescent="0.25">
      <c r="A362">
        <v>361</v>
      </c>
      <c r="B362" t="s">
        <v>405</v>
      </c>
      <c r="C362" s="24">
        <v>3</v>
      </c>
    </row>
    <row r="363" spans="1:3" x14ac:dyDescent="0.25">
      <c r="A363">
        <v>362</v>
      </c>
      <c r="B363" t="s">
        <v>406</v>
      </c>
      <c r="C363" s="24">
        <v>1</v>
      </c>
    </row>
    <row r="364" spans="1:3" x14ac:dyDescent="0.25">
      <c r="A364">
        <v>363</v>
      </c>
      <c r="B364" t="s">
        <v>407</v>
      </c>
      <c r="C364" s="24">
        <v>1</v>
      </c>
    </row>
    <row r="365" spans="1:3" x14ac:dyDescent="0.25">
      <c r="A365">
        <v>364</v>
      </c>
      <c r="B365" t="s">
        <v>408</v>
      </c>
      <c r="C365" s="24">
        <v>4</v>
      </c>
    </row>
    <row r="366" spans="1:3" x14ac:dyDescent="0.25">
      <c r="A366">
        <v>365</v>
      </c>
      <c r="B366" t="s">
        <v>409</v>
      </c>
      <c r="C366" s="24">
        <v>4</v>
      </c>
    </row>
    <row r="367" spans="1:3" x14ac:dyDescent="0.25">
      <c r="A367">
        <v>366</v>
      </c>
      <c r="B367" t="s">
        <v>410</v>
      </c>
      <c r="C367" s="24">
        <v>2</v>
      </c>
    </row>
    <row r="368" spans="1:3" x14ac:dyDescent="0.25">
      <c r="A368">
        <v>367</v>
      </c>
      <c r="B368" t="s">
        <v>411</v>
      </c>
      <c r="C368" s="24">
        <v>1</v>
      </c>
    </row>
    <row r="369" spans="1:3" x14ac:dyDescent="0.25">
      <c r="A369">
        <v>368</v>
      </c>
      <c r="B369" t="s">
        <v>412</v>
      </c>
      <c r="C369" s="24">
        <v>1</v>
      </c>
    </row>
    <row r="370" spans="1:3" x14ac:dyDescent="0.25">
      <c r="A370">
        <v>369</v>
      </c>
      <c r="B370" t="s">
        <v>413</v>
      </c>
      <c r="C370" s="24">
        <v>2</v>
      </c>
    </row>
    <row r="371" spans="1:3" x14ac:dyDescent="0.25">
      <c r="A371">
        <v>370</v>
      </c>
      <c r="B371" t="s">
        <v>414</v>
      </c>
      <c r="C371" s="24">
        <v>3</v>
      </c>
    </row>
    <row r="372" spans="1:3" x14ac:dyDescent="0.25">
      <c r="A372">
        <v>371</v>
      </c>
      <c r="B372" t="s">
        <v>415</v>
      </c>
      <c r="C372" s="24">
        <v>1</v>
      </c>
    </row>
    <row r="373" spans="1:3" x14ac:dyDescent="0.25">
      <c r="A373">
        <v>372</v>
      </c>
      <c r="B373" t="s">
        <v>416</v>
      </c>
      <c r="C373" s="24">
        <v>2</v>
      </c>
    </row>
    <row r="374" spans="1:3" x14ac:dyDescent="0.25">
      <c r="A374">
        <v>373</v>
      </c>
      <c r="B374" t="s">
        <v>417</v>
      </c>
      <c r="C374" s="24">
        <v>6</v>
      </c>
    </row>
    <row r="375" spans="1:3" x14ac:dyDescent="0.25">
      <c r="A375">
        <v>374</v>
      </c>
      <c r="B375" t="s">
        <v>418</v>
      </c>
      <c r="C375" s="24">
        <v>6</v>
      </c>
    </row>
    <row r="376" spans="1:3" x14ac:dyDescent="0.25">
      <c r="A376">
        <v>375</v>
      </c>
      <c r="B376" t="s">
        <v>419</v>
      </c>
      <c r="C376" s="24">
        <v>1</v>
      </c>
    </row>
    <row r="377" spans="1:3" x14ac:dyDescent="0.25">
      <c r="A377">
        <v>376</v>
      </c>
      <c r="B377" t="s">
        <v>420</v>
      </c>
      <c r="C377" s="24">
        <v>3</v>
      </c>
    </row>
    <row r="378" spans="1:3" x14ac:dyDescent="0.25">
      <c r="A378">
        <v>377</v>
      </c>
      <c r="B378" t="s">
        <v>421</v>
      </c>
      <c r="C378" s="24">
        <v>1</v>
      </c>
    </row>
    <row r="379" spans="1:3" x14ac:dyDescent="0.25">
      <c r="A379">
        <v>378</v>
      </c>
      <c r="B379" t="s">
        <v>422</v>
      </c>
      <c r="C379" s="24">
        <v>1</v>
      </c>
    </row>
    <row r="380" spans="1:3" x14ac:dyDescent="0.25">
      <c r="A380">
        <v>379</v>
      </c>
      <c r="B380" t="s">
        <v>423</v>
      </c>
      <c r="C380" s="24">
        <v>5</v>
      </c>
    </row>
    <row r="381" spans="1:3" x14ac:dyDescent="0.25">
      <c r="A381">
        <v>380</v>
      </c>
      <c r="B381" t="s">
        <v>424</v>
      </c>
      <c r="C381" s="24">
        <v>1</v>
      </c>
    </row>
    <row r="382" spans="1:3" x14ac:dyDescent="0.25">
      <c r="A382">
        <v>381</v>
      </c>
      <c r="B382" t="s">
        <v>425</v>
      </c>
      <c r="C382" s="24">
        <v>1</v>
      </c>
    </row>
    <row r="383" spans="1:3" x14ac:dyDescent="0.25">
      <c r="A383">
        <v>382</v>
      </c>
      <c r="B383" t="s">
        <v>426</v>
      </c>
      <c r="C383" s="24">
        <v>1</v>
      </c>
    </row>
    <row r="384" spans="1:3" x14ac:dyDescent="0.25">
      <c r="A384">
        <v>383</v>
      </c>
      <c r="B384" t="s">
        <v>427</v>
      </c>
      <c r="C384" s="24">
        <v>5</v>
      </c>
    </row>
    <row r="385" spans="1:3" x14ac:dyDescent="0.25">
      <c r="A385">
        <v>384</v>
      </c>
      <c r="B385" t="s">
        <v>428</v>
      </c>
      <c r="C385" s="24">
        <v>5</v>
      </c>
    </row>
    <row r="386" spans="1:3" x14ac:dyDescent="0.25">
      <c r="A386">
        <v>385</v>
      </c>
      <c r="B386" t="s">
        <v>429</v>
      </c>
      <c r="C386" s="24">
        <v>1</v>
      </c>
    </row>
    <row r="387" spans="1:3" x14ac:dyDescent="0.25">
      <c r="A387">
        <v>386</v>
      </c>
      <c r="B387" t="s">
        <v>430</v>
      </c>
      <c r="C387" s="24">
        <v>1</v>
      </c>
    </row>
    <row r="388" spans="1:3" x14ac:dyDescent="0.25">
      <c r="A388">
        <v>387</v>
      </c>
      <c r="B388" t="s">
        <v>431</v>
      </c>
      <c r="C388" s="24">
        <v>1</v>
      </c>
    </row>
    <row r="389" spans="1:3" x14ac:dyDescent="0.25">
      <c r="A389">
        <v>388</v>
      </c>
      <c r="B389" t="s">
        <v>432</v>
      </c>
      <c r="C389" s="24">
        <v>1</v>
      </c>
    </row>
    <row r="390" spans="1:3" x14ac:dyDescent="0.25">
      <c r="A390">
        <v>389</v>
      </c>
      <c r="B390" t="s">
        <v>433</v>
      </c>
      <c r="C390" s="24">
        <v>1</v>
      </c>
    </row>
    <row r="391" spans="1:3" x14ac:dyDescent="0.25">
      <c r="A391">
        <v>390</v>
      </c>
      <c r="B391" t="s">
        <v>434</v>
      </c>
      <c r="C391" s="24">
        <v>1</v>
      </c>
    </row>
    <row r="392" spans="1:3" x14ac:dyDescent="0.25">
      <c r="A392">
        <v>391</v>
      </c>
      <c r="B392" t="s">
        <v>435</v>
      </c>
      <c r="C392" s="24">
        <v>1</v>
      </c>
    </row>
    <row r="393" spans="1:3" x14ac:dyDescent="0.25">
      <c r="A393">
        <v>392</v>
      </c>
      <c r="B393" t="s">
        <v>436</v>
      </c>
      <c r="C393" s="24">
        <v>2</v>
      </c>
    </row>
    <row r="394" spans="1:3" x14ac:dyDescent="0.25">
      <c r="A394">
        <v>393</v>
      </c>
      <c r="B394" t="s">
        <v>437</v>
      </c>
      <c r="C394" s="24">
        <v>4</v>
      </c>
    </row>
    <row r="395" spans="1:3" x14ac:dyDescent="0.25">
      <c r="A395">
        <v>394</v>
      </c>
      <c r="B395" t="s">
        <v>438</v>
      </c>
      <c r="C395" s="24">
        <v>2</v>
      </c>
    </row>
    <row r="396" spans="1:3" x14ac:dyDescent="0.25">
      <c r="A396">
        <v>395</v>
      </c>
      <c r="B396" t="s">
        <v>439</v>
      </c>
      <c r="C396" s="24">
        <v>4</v>
      </c>
    </row>
    <row r="397" spans="1:3" x14ac:dyDescent="0.25">
      <c r="A397">
        <v>396</v>
      </c>
      <c r="B397" t="s">
        <v>440</v>
      </c>
      <c r="C397" s="24">
        <v>1</v>
      </c>
    </row>
    <row r="398" spans="1:3" x14ac:dyDescent="0.25">
      <c r="A398">
        <v>397</v>
      </c>
      <c r="B398" t="s">
        <v>441</v>
      </c>
      <c r="C398" s="24">
        <v>1</v>
      </c>
    </row>
    <row r="399" spans="1:3" x14ac:dyDescent="0.25">
      <c r="A399">
        <v>398</v>
      </c>
      <c r="B399" t="s">
        <v>442</v>
      </c>
      <c r="C399" s="24">
        <v>4</v>
      </c>
    </row>
    <row r="400" spans="1:3" x14ac:dyDescent="0.25">
      <c r="A400">
        <v>399</v>
      </c>
      <c r="B400" t="s">
        <v>443</v>
      </c>
      <c r="C400" s="24">
        <v>4</v>
      </c>
    </row>
    <row r="401" spans="1:3" x14ac:dyDescent="0.25">
      <c r="A401">
        <v>400</v>
      </c>
      <c r="B401" t="s">
        <v>444</v>
      </c>
      <c r="C401" s="24">
        <v>1</v>
      </c>
    </row>
    <row r="402" spans="1:3" x14ac:dyDescent="0.25">
      <c r="A402">
        <v>401</v>
      </c>
      <c r="B402" t="s">
        <v>445</v>
      </c>
      <c r="C402" s="24">
        <v>1</v>
      </c>
    </row>
    <row r="403" spans="1:3" x14ac:dyDescent="0.25">
      <c r="A403">
        <v>402</v>
      </c>
      <c r="B403" t="s">
        <v>446</v>
      </c>
      <c r="C403" s="24">
        <v>1</v>
      </c>
    </row>
    <row r="404" spans="1:3" x14ac:dyDescent="0.25">
      <c r="A404">
        <v>403</v>
      </c>
      <c r="B404" t="s">
        <v>447</v>
      </c>
      <c r="C404" s="24">
        <v>1</v>
      </c>
    </row>
    <row r="405" spans="1:3" x14ac:dyDescent="0.25">
      <c r="A405">
        <v>404</v>
      </c>
      <c r="B405" t="s">
        <v>448</v>
      </c>
      <c r="C405" s="24">
        <v>1</v>
      </c>
    </row>
    <row r="406" spans="1:3" x14ac:dyDescent="0.25">
      <c r="A406">
        <v>405</v>
      </c>
      <c r="B406" t="s">
        <v>449</v>
      </c>
      <c r="C406" s="24">
        <v>4</v>
      </c>
    </row>
    <row r="407" spans="1:3" x14ac:dyDescent="0.25">
      <c r="A407">
        <v>406</v>
      </c>
      <c r="B407" t="s">
        <v>450</v>
      </c>
      <c r="C407" s="24">
        <v>2</v>
      </c>
    </row>
    <row r="408" spans="1:3" x14ac:dyDescent="0.25">
      <c r="A408">
        <v>407</v>
      </c>
      <c r="B408" t="s">
        <v>451</v>
      </c>
      <c r="C408" s="24">
        <v>1</v>
      </c>
    </row>
    <row r="409" spans="1:3" x14ac:dyDescent="0.25">
      <c r="A409">
        <v>408</v>
      </c>
      <c r="B409" t="s">
        <v>452</v>
      </c>
      <c r="C409" s="24">
        <v>5</v>
      </c>
    </row>
    <row r="410" spans="1:3" x14ac:dyDescent="0.25">
      <c r="A410">
        <v>409</v>
      </c>
      <c r="B410" t="s">
        <v>453</v>
      </c>
      <c r="C410" s="24">
        <v>1</v>
      </c>
    </row>
    <row r="411" spans="1:3" x14ac:dyDescent="0.25">
      <c r="A411">
        <v>410</v>
      </c>
      <c r="B411" t="s">
        <v>454</v>
      </c>
      <c r="C411" s="24">
        <v>4</v>
      </c>
    </row>
    <row r="412" spans="1:3" x14ac:dyDescent="0.25">
      <c r="A412">
        <v>411</v>
      </c>
      <c r="B412" t="s">
        <v>455</v>
      </c>
      <c r="C412" s="24">
        <v>3</v>
      </c>
    </row>
    <row r="413" spans="1:3" x14ac:dyDescent="0.25">
      <c r="A413">
        <v>412</v>
      </c>
      <c r="B413" t="s">
        <v>456</v>
      </c>
      <c r="C413" s="24">
        <v>1</v>
      </c>
    </row>
    <row r="414" spans="1:3" x14ac:dyDescent="0.25">
      <c r="A414">
        <v>413</v>
      </c>
      <c r="B414" t="s">
        <v>457</v>
      </c>
      <c r="C414" s="24">
        <v>5</v>
      </c>
    </row>
    <row r="415" spans="1:3" x14ac:dyDescent="0.25">
      <c r="A415">
        <v>414</v>
      </c>
      <c r="B415" t="s">
        <v>458</v>
      </c>
      <c r="C415" s="24">
        <v>2</v>
      </c>
    </row>
    <row r="416" spans="1:3" x14ac:dyDescent="0.25">
      <c r="A416">
        <v>415</v>
      </c>
      <c r="B416" t="s">
        <v>459</v>
      </c>
      <c r="C416" s="24">
        <v>3</v>
      </c>
    </row>
    <row r="417" spans="1:3" x14ac:dyDescent="0.25">
      <c r="A417">
        <v>416</v>
      </c>
      <c r="B417" t="s">
        <v>460</v>
      </c>
      <c r="C417" s="24">
        <v>1</v>
      </c>
    </row>
    <row r="418" spans="1:3" x14ac:dyDescent="0.25">
      <c r="A418">
        <v>417</v>
      </c>
      <c r="B418" t="s">
        <v>461</v>
      </c>
      <c r="C418" s="24">
        <v>1</v>
      </c>
    </row>
    <row r="419" spans="1:3" x14ac:dyDescent="0.25">
      <c r="A419">
        <v>418</v>
      </c>
      <c r="B419" t="s">
        <v>462</v>
      </c>
      <c r="C419" s="24">
        <v>1</v>
      </c>
    </row>
    <row r="420" spans="1:3" x14ac:dyDescent="0.25">
      <c r="A420">
        <v>419</v>
      </c>
      <c r="B420" t="s">
        <v>463</v>
      </c>
      <c r="C420" s="24">
        <v>1</v>
      </c>
    </row>
    <row r="421" spans="1:3" x14ac:dyDescent="0.25">
      <c r="A421">
        <v>420</v>
      </c>
      <c r="B421" t="s">
        <v>464</v>
      </c>
      <c r="C421" s="24">
        <v>3</v>
      </c>
    </row>
    <row r="422" spans="1:3" x14ac:dyDescent="0.25">
      <c r="A422">
        <v>421</v>
      </c>
      <c r="B422" t="s">
        <v>465</v>
      </c>
      <c r="C422" s="24">
        <v>1</v>
      </c>
    </row>
    <row r="423" spans="1:3" x14ac:dyDescent="0.25">
      <c r="A423">
        <v>422</v>
      </c>
      <c r="B423" t="s">
        <v>466</v>
      </c>
      <c r="C423" s="24">
        <v>1</v>
      </c>
    </row>
    <row r="424" spans="1:3" x14ac:dyDescent="0.25">
      <c r="A424">
        <v>423</v>
      </c>
      <c r="B424" t="s">
        <v>467</v>
      </c>
      <c r="C424" s="24">
        <v>1</v>
      </c>
    </row>
    <row r="425" spans="1:3" x14ac:dyDescent="0.25">
      <c r="A425">
        <v>424</v>
      </c>
      <c r="B425" t="s">
        <v>468</v>
      </c>
      <c r="C425" s="24">
        <v>5</v>
      </c>
    </row>
    <row r="426" spans="1:3" x14ac:dyDescent="0.25">
      <c r="A426">
        <v>425</v>
      </c>
      <c r="B426" t="s">
        <v>469</v>
      </c>
      <c r="C426" s="24">
        <v>2</v>
      </c>
    </row>
    <row r="427" spans="1:3" x14ac:dyDescent="0.25">
      <c r="A427">
        <v>426</v>
      </c>
      <c r="B427" t="s">
        <v>470</v>
      </c>
      <c r="C427" s="24">
        <v>5</v>
      </c>
    </row>
    <row r="428" spans="1:3" x14ac:dyDescent="0.25">
      <c r="A428">
        <v>427</v>
      </c>
      <c r="B428" t="s">
        <v>471</v>
      </c>
      <c r="C428" s="24">
        <v>1</v>
      </c>
    </row>
    <row r="429" spans="1:3" x14ac:dyDescent="0.25">
      <c r="A429">
        <v>428</v>
      </c>
      <c r="B429" t="s">
        <v>472</v>
      </c>
      <c r="C429" s="24">
        <v>4</v>
      </c>
    </row>
    <row r="430" spans="1:3" x14ac:dyDescent="0.25">
      <c r="A430">
        <v>429</v>
      </c>
      <c r="B430" t="s">
        <v>473</v>
      </c>
      <c r="C430" s="24">
        <v>1</v>
      </c>
    </row>
    <row r="431" spans="1:3" x14ac:dyDescent="0.25">
      <c r="A431">
        <v>430</v>
      </c>
      <c r="B431" t="s">
        <v>474</v>
      </c>
      <c r="C431" s="24">
        <v>2</v>
      </c>
    </row>
    <row r="432" spans="1:3" x14ac:dyDescent="0.25">
      <c r="A432">
        <v>431</v>
      </c>
      <c r="B432" t="s">
        <v>475</v>
      </c>
      <c r="C432" s="24">
        <v>4</v>
      </c>
    </row>
    <row r="433" spans="1:3" x14ac:dyDescent="0.25">
      <c r="A433">
        <v>432</v>
      </c>
      <c r="B433" t="s">
        <v>476</v>
      </c>
      <c r="C433" s="24">
        <v>1</v>
      </c>
    </row>
    <row r="434" spans="1:3" x14ac:dyDescent="0.25">
      <c r="A434">
        <v>433</v>
      </c>
      <c r="B434" t="s">
        <v>477</v>
      </c>
      <c r="C434" s="24">
        <v>1</v>
      </c>
    </row>
    <row r="435" spans="1:3" x14ac:dyDescent="0.25">
      <c r="A435">
        <v>434</v>
      </c>
      <c r="B435" t="s">
        <v>478</v>
      </c>
      <c r="C435" s="24">
        <v>1</v>
      </c>
    </row>
    <row r="436" spans="1:3" x14ac:dyDescent="0.25">
      <c r="A436">
        <v>435</v>
      </c>
      <c r="B436" t="s">
        <v>479</v>
      </c>
      <c r="C436" s="24">
        <v>1</v>
      </c>
    </row>
    <row r="437" spans="1:3" x14ac:dyDescent="0.25">
      <c r="A437">
        <v>436</v>
      </c>
      <c r="B437" t="s">
        <v>480</v>
      </c>
      <c r="C437" s="24">
        <v>1</v>
      </c>
    </row>
    <row r="438" spans="1:3" x14ac:dyDescent="0.25">
      <c r="A438">
        <v>437</v>
      </c>
      <c r="B438" t="s">
        <v>481</v>
      </c>
      <c r="C438" s="24">
        <v>1</v>
      </c>
    </row>
    <row r="439" spans="1:3" x14ac:dyDescent="0.25">
      <c r="A439">
        <v>438</v>
      </c>
      <c r="B439" t="s">
        <v>482</v>
      </c>
      <c r="C439" s="24">
        <v>1</v>
      </c>
    </row>
    <row r="440" spans="1:3" x14ac:dyDescent="0.25">
      <c r="A440">
        <v>439</v>
      </c>
      <c r="B440" t="s">
        <v>483</v>
      </c>
      <c r="C440" s="24">
        <v>6</v>
      </c>
    </row>
    <row r="441" spans="1:3" x14ac:dyDescent="0.25">
      <c r="A441">
        <v>440</v>
      </c>
      <c r="B441" t="s">
        <v>484</v>
      </c>
      <c r="C441" s="24">
        <v>1</v>
      </c>
    </row>
    <row r="442" spans="1:3" x14ac:dyDescent="0.25">
      <c r="A442">
        <v>441</v>
      </c>
      <c r="B442" t="s">
        <v>485</v>
      </c>
      <c r="C442" s="24">
        <v>1</v>
      </c>
    </row>
    <row r="443" spans="1:3" x14ac:dyDescent="0.25">
      <c r="A443">
        <v>442</v>
      </c>
      <c r="B443" t="s">
        <v>486</v>
      </c>
      <c r="C443" s="24">
        <v>3</v>
      </c>
    </row>
    <row r="444" spans="1:3" x14ac:dyDescent="0.25">
      <c r="A444">
        <v>443</v>
      </c>
      <c r="B444" t="s">
        <v>487</v>
      </c>
      <c r="C444" s="24">
        <v>5</v>
      </c>
    </row>
    <row r="445" spans="1:3" x14ac:dyDescent="0.25">
      <c r="A445">
        <v>444</v>
      </c>
      <c r="B445" t="s">
        <v>488</v>
      </c>
      <c r="C445" s="24">
        <v>1</v>
      </c>
    </row>
    <row r="446" spans="1:3" x14ac:dyDescent="0.25">
      <c r="A446">
        <v>445</v>
      </c>
      <c r="B446" t="s">
        <v>489</v>
      </c>
      <c r="C446" s="24">
        <v>2</v>
      </c>
    </row>
    <row r="447" spans="1:3" x14ac:dyDescent="0.25">
      <c r="A447">
        <v>446</v>
      </c>
      <c r="B447" t="s">
        <v>490</v>
      </c>
      <c r="C447" s="24">
        <v>1</v>
      </c>
    </row>
    <row r="448" spans="1:3" x14ac:dyDescent="0.25">
      <c r="A448">
        <v>447</v>
      </c>
      <c r="B448" t="s">
        <v>491</v>
      </c>
      <c r="C448" s="24">
        <v>1</v>
      </c>
    </row>
    <row r="449" spans="1:3" x14ac:dyDescent="0.25">
      <c r="A449">
        <v>448</v>
      </c>
      <c r="B449" t="s">
        <v>492</v>
      </c>
      <c r="C449" s="24">
        <v>3</v>
      </c>
    </row>
    <row r="450" spans="1:3" x14ac:dyDescent="0.25">
      <c r="A450">
        <v>449</v>
      </c>
      <c r="B450" t="s">
        <v>493</v>
      </c>
      <c r="C450" s="24">
        <v>1</v>
      </c>
    </row>
    <row r="451" spans="1:3" x14ac:dyDescent="0.25">
      <c r="A451">
        <v>450</v>
      </c>
      <c r="B451" t="s">
        <v>494</v>
      </c>
      <c r="C451" s="24">
        <v>1</v>
      </c>
    </row>
    <row r="452" spans="1:3" x14ac:dyDescent="0.25">
      <c r="A452">
        <v>451</v>
      </c>
      <c r="B452" t="s">
        <v>495</v>
      </c>
      <c r="C452" s="24">
        <v>1</v>
      </c>
    </row>
    <row r="453" spans="1:3" x14ac:dyDescent="0.25">
      <c r="A453">
        <v>452</v>
      </c>
      <c r="B453" t="s">
        <v>496</v>
      </c>
      <c r="C453" s="24">
        <v>4</v>
      </c>
    </row>
    <row r="454" spans="1:3" x14ac:dyDescent="0.25">
      <c r="A454">
        <v>453</v>
      </c>
      <c r="B454" t="s">
        <v>497</v>
      </c>
      <c r="C454" s="24">
        <v>4</v>
      </c>
    </row>
    <row r="455" spans="1:3" x14ac:dyDescent="0.25">
      <c r="A455">
        <v>454</v>
      </c>
      <c r="B455" t="s">
        <v>498</v>
      </c>
      <c r="C455" s="24">
        <v>1</v>
      </c>
    </row>
    <row r="456" spans="1:3" x14ac:dyDescent="0.25">
      <c r="A456">
        <v>455</v>
      </c>
      <c r="B456" t="s">
        <v>499</v>
      </c>
      <c r="C456" s="24">
        <v>1</v>
      </c>
    </row>
    <row r="457" spans="1:3" x14ac:dyDescent="0.25">
      <c r="A457">
        <v>456</v>
      </c>
      <c r="B457" t="s">
        <v>500</v>
      </c>
      <c r="C457" s="24">
        <v>1</v>
      </c>
    </row>
    <row r="458" spans="1:3" x14ac:dyDescent="0.25">
      <c r="A458">
        <v>457</v>
      </c>
      <c r="B458" t="s">
        <v>501</v>
      </c>
      <c r="C458" s="24">
        <v>4</v>
      </c>
    </row>
    <row r="459" spans="1:3" x14ac:dyDescent="0.25">
      <c r="A459">
        <v>458</v>
      </c>
      <c r="B459" t="s">
        <v>502</v>
      </c>
      <c r="C459" s="24">
        <v>1</v>
      </c>
    </row>
    <row r="460" spans="1:3" x14ac:dyDescent="0.25">
      <c r="A460">
        <v>459</v>
      </c>
      <c r="B460" t="s">
        <v>503</v>
      </c>
      <c r="C460" s="24">
        <v>1</v>
      </c>
    </row>
    <row r="461" spans="1:3" x14ac:dyDescent="0.25">
      <c r="A461">
        <v>460</v>
      </c>
      <c r="B461" t="s">
        <v>504</v>
      </c>
      <c r="C461" s="24">
        <v>1</v>
      </c>
    </row>
    <row r="462" spans="1:3" x14ac:dyDescent="0.25">
      <c r="A462">
        <v>461</v>
      </c>
      <c r="B462" t="s">
        <v>505</v>
      </c>
      <c r="C462" s="24">
        <v>1</v>
      </c>
    </row>
    <row r="463" spans="1:3" x14ac:dyDescent="0.25">
      <c r="A463">
        <v>462</v>
      </c>
      <c r="B463" t="s">
        <v>506</v>
      </c>
      <c r="C463" s="24">
        <v>2</v>
      </c>
    </row>
    <row r="464" spans="1:3" x14ac:dyDescent="0.25">
      <c r="A464">
        <v>463</v>
      </c>
      <c r="B464" t="s">
        <v>507</v>
      </c>
      <c r="C464" s="24">
        <v>1</v>
      </c>
    </row>
    <row r="465" spans="1:3" x14ac:dyDescent="0.25">
      <c r="A465">
        <v>464</v>
      </c>
      <c r="B465" t="s">
        <v>508</v>
      </c>
      <c r="C465" s="24">
        <v>2</v>
      </c>
    </row>
    <row r="466" spans="1:3" x14ac:dyDescent="0.25">
      <c r="A466">
        <v>465</v>
      </c>
      <c r="B466" t="s">
        <v>509</v>
      </c>
      <c r="C466" s="24">
        <v>2</v>
      </c>
    </row>
    <row r="467" spans="1:3" x14ac:dyDescent="0.25">
      <c r="A467">
        <v>466</v>
      </c>
      <c r="B467" t="s">
        <v>510</v>
      </c>
      <c r="C467" s="24">
        <v>4</v>
      </c>
    </row>
    <row r="468" spans="1:3" x14ac:dyDescent="0.25">
      <c r="A468">
        <v>467</v>
      </c>
      <c r="B468" t="s">
        <v>511</v>
      </c>
      <c r="C468" s="24">
        <v>1</v>
      </c>
    </row>
    <row r="469" spans="1:3" x14ac:dyDescent="0.25">
      <c r="A469">
        <v>468</v>
      </c>
      <c r="B469" t="s">
        <v>512</v>
      </c>
      <c r="C469" s="24">
        <v>1</v>
      </c>
    </row>
    <row r="470" spans="1:3" x14ac:dyDescent="0.25">
      <c r="A470">
        <v>469</v>
      </c>
      <c r="B470" t="s">
        <v>513</v>
      </c>
      <c r="C470" s="24">
        <v>3</v>
      </c>
    </row>
    <row r="471" spans="1:3" x14ac:dyDescent="0.25">
      <c r="A471">
        <v>470</v>
      </c>
      <c r="B471" t="s">
        <v>514</v>
      </c>
      <c r="C471" s="24">
        <v>1</v>
      </c>
    </row>
    <row r="472" spans="1:3" x14ac:dyDescent="0.25">
      <c r="A472">
        <v>471</v>
      </c>
      <c r="B472" t="s">
        <v>515</v>
      </c>
      <c r="C472" s="24">
        <v>1</v>
      </c>
    </row>
    <row r="473" spans="1:3" x14ac:dyDescent="0.25">
      <c r="A473">
        <v>472</v>
      </c>
      <c r="B473" t="s">
        <v>516</v>
      </c>
      <c r="C473" s="24">
        <v>1</v>
      </c>
    </row>
    <row r="474" spans="1:3" x14ac:dyDescent="0.25">
      <c r="A474">
        <v>473</v>
      </c>
      <c r="B474" t="s">
        <v>517</v>
      </c>
      <c r="C474" s="24">
        <v>3</v>
      </c>
    </row>
    <row r="475" spans="1:3" x14ac:dyDescent="0.25">
      <c r="A475">
        <v>474</v>
      </c>
      <c r="B475" t="s">
        <v>518</v>
      </c>
      <c r="C475" s="24">
        <v>1</v>
      </c>
    </row>
    <row r="476" spans="1:3" x14ac:dyDescent="0.25">
      <c r="A476">
        <v>475</v>
      </c>
      <c r="B476" t="s">
        <v>519</v>
      </c>
      <c r="C476" s="24">
        <v>1</v>
      </c>
    </row>
    <row r="477" spans="1:3" x14ac:dyDescent="0.25">
      <c r="A477">
        <v>476</v>
      </c>
      <c r="B477" t="s">
        <v>520</v>
      </c>
      <c r="C477" s="24">
        <v>1</v>
      </c>
    </row>
    <row r="478" spans="1:3" x14ac:dyDescent="0.25">
      <c r="A478">
        <v>477</v>
      </c>
      <c r="B478" t="s">
        <v>521</v>
      </c>
      <c r="C478" s="24">
        <v>4</v>
      </c>
    </row>
    <row r="479" spans="1:3" x14ac:dyDescent="0.25">
      <c r="A479">
        <v>478</v>
      </c>
      <c r="B479" t="s">
        <v>522</v>
      </c>
      <c r="C479" s="24">
        <v>5</v>
      </c>
    </row>
    <row r="480" spans="1:3" x14ac:dyDescent="0.25">
      <c r="A480">
        <v>479</v>
      </c>
      <c r="B480" t="s">
        <v>523</v>
      </c>
      <c r="C480" s="24">
        <v>1</v>
      </c>
    </row>
    <row r="481" spans="1:3" x14ac:dyDescent="0.25">
      <c r="A481">
        <v>480</v>
      </c>
      <c r="B481" t="s">
        <v>524</v>
      </c>
      <c r="C481" s="24">
        <v>5</v>
      </c>
    </row>
    <row r="482" spans="1:3" x14ac:dyDescent="0.25">
      <c r="A482">
        <v>481</v>
      </c>
      <c r="B482" t="s">
        <v>525</v>
      </c>
      <c r="C482" s="24">
        <v>1</v>
      </c>
    </row>
    <row r="483" spans="1:3" x14ac:dyDescent="0.25">
      <c r="A483">
        <v>482</v>
      </c>
      <c r="B483" t="s">
        <v>526</v>
      </c>
      <c r="C483" s="24">
        <v>1</v>
      </c>
    </row>
    <row r="484" spans="1:3" x14ac:dyDescent="0.25">
      <c r="A484">
        <v>483</v>
      </c>
      <c r="B484" t="s">
        <v>527</v>
      </c>
      <c r="C484" s="24">
        <v>5</v>
      </c>
    </row>
    <row r="485" spans="1:3" x14ac:dyDescent="0.25">
      <c r="A485">
        <v>484</v>
      </c>
      <c r="B485" t="s">
        <v>528</v>
      </c>
      <c r="C485" s="24">
        <v>1</v>
      </c>
    </row>
    <row r="486" spans="1:3" x14ac:dyDescent="0.25">
      <c r="A486">
        <v>485</v>
      </c>
      <c r="B486" t="s">
        <v>529</v>
      </c>
      <c r="C486" s="24">
        <v>2</v>
      </c>
    </row>
    <row r="487" spans="1:3" x14ac:dyDescent="0.25">
      <c r="A487">
        <v>486</v>
      </c>
      <c r="B487" t="s">
        <v>530</v>
      </c>
      <c r="C487" s="24">
        <v>2</v>
      </c>
    </row>
    <row r="488" spans="1:3" x14ac:dyDescent="0.25">
      <c r="A488">
        <v>487</v>
      </c>
      <c r="B488" t="s">
        <v>531</v>
      </c>
      <c r="C488" s="24">
        <v>1</v>
      </c>
    </row>
    <row r="489" spans="1:3" x14ac:dyDescent="0.25">
      <c r="A489">
        <v>488</v>
      </c>
      <c r="B489" t="s">
        <v>532</v>
      </c>
      <c r="C489" s="24">
        <v>1</v>
      </c>
    </row>
    <row r="490" spans="1:3" x14ac:dyDescent="0.25">
      <c r="A490">
        <v>489</v>
      </c>
      <c r="B490" t="s">
        <v>533</v>
      </c>
      <c r="C490" s="24">
        <v>5</v>
      </c>
    </row>
    <row r="491" spans="1:3" x14ac:dyDescent="0.25">
      <c r="A491">
        <v>490</v>
      </c>
      <c r="B491" t="s">
        <v>534</v>
      </c>
      <c r="C491" s="24">
        <v>1</v>
      </c>
    </row>
    <row r="492" spans="1:3" x14ac:dyDescent="0.25">
      <c r="A492">
        <v>491</v>
      </c>
      <c r="B492" t="s">
        <v>535</v>
      </c>
      <c r="C492" s="24">
        <v>1</v>
      </c>
    </row>
    <row r="493" spans="1:3" x14ac:dyDescent="0.25">
      <c r="A493">
        <v>492</v>
      </c>
      <c r="B493" t="s">
        <v>536</v>
      </c>
      <c r="C493" s="24">
        <v>5</v>
      </c>
    </row>
    <row r="494" spans="1:3" x14ac:dyDescent="0.25">
      <c r="A494">
        <v>493</v>
      </c>
      <c r="B494" t="s">
        <v>537</v>
      </c>
      <c r="C494" s="24">
        <v>1</v>
      </c>
    </row>
    <row r="495" spans="1:3" x14ac:dyDescent="0.25">
      <c r="A495">
        <v>494</v>
      </c>
      <c r="B495" t="s">
        <v>538</v>
      </c>
      <c r="C495" s="24">
        <v>1</v>
      </c>
    </row>
    <row r="496" spans="1:3" x14ac:dyDescent="0.25">
      <c r="A496">
        <v>495</v>
      </c>
      <c r="B496" t="s">
        <v>539</v>
      </c>
      <c r="C496" s="24">
        <v>1</v>
      </c>
    </row>
    <row r="497" spans="1:3" x14ac:dyDescent="0.25">
      <c r="A497">
        <v>496</v>
      </c>
      <c r="B497" t="s">
        <v>540</v>
      </c>
      <c r="C497" s="24">
        <v>2</v>
      </c>
    </row>
    <row r="498" spans="1:3" x14ac:dyDescent="0.25">
      <c r="A498">
        <v>497</v>
      </c>
      <c r="B498" t="s">
        <v>541</v>
      </c>
      <c r="C498" s="24">
        <v>5</v>
      </c>
    </row>
    <row r="499" spans="1:3" x14ac:dyDescent="0.25">
      <c r="A499">
        <v>498</v>
      </c>
      <c r="B499" t="s">
        <v>542</v>
      </c>
      <c r="C499" s="24">
        <v>1</v>
      </c>
    </row>
    <row r="500" spans="1:3" x14ac:dyDescent="0.25">
      <c r="A500">
        <v>499</v>
      </c>
      <c r="B500" t="s">
        <v>543</v>
      </c>
      <c r="C500" s="24">
        <v>1</v>
      </c>
    </row>
    <row r="501" spans="1:3" x14ac:dyDescent="0.25">
      <c r="A501">
        <v>500</v>
      </c>
      <c r="B501" t="s">
        <v>544</v>
      </c>
      <c r="C501" s="24">
        <v>1</v>
      </c>
    </row>
    <row r="502" spans="1:3" x14ac:dyDescent="0.25">
      <c r="A502">
        <v>501</v>
      </c>
      <c r="B502" t="s">
        <v>545</v>
      </c>
      <c r="C502" s="24">
        <v>1</v>
      </c>
    </row>
    <row r="503" spans="1:3" x14ac:dyDescent="0.25">
      <c r="A503">
        <v>502</v>
      </c>
      <c r="B503" t="s">
        <v>546</v>
      </c>
      <c r="C503" s="24">
        <v>4</v>
      </c>
    </row>
    <row r="504" spans="1:3" x14ac:dyDescent="0.25">
      <c r="A504">
        <v>503</v>
      </c>
      <c r="B504" t="s">
        <v>547</v>
      </c>
      <c r="C504" s="24">
        <v>5</v>
      </c>
    </row>
    <row r="505" spans="1:3" x14ac:dyDescent="0.25">
      <c r="A505">
        <v>504</v>
      </c>
      <c r="B505" t="s">
        <v>548</v>
      </c>
      <c r="C505" s="24">
        <v>5</v>
      </c>
    </row>
    <row r="506" spans="1:3" x14ac:dyDescent="0.25">
      <c r="A506">
        <v>505</v>
      </c>
      <c r="B506" t="s">
        <v>549</v>
      </c>
      <c r="C506" s="24">
        <v>1</v>
      </c>
    </row>
    <row r="507" spans="1:3" x14ac:dyDescent="0.25">
      <c r="A507">
        <v>506</v>
      </c>
      <c r="B507" t="s">
        <v>550</v>
      </c>
      <c r="C507" s="24">
        <v>1</v>
      </c>
    </row>
    <row r="508" spans="1:3" x14ac:dyDescent="0.25">
      <c r="A508">
        <v>507</v>
      </c>
      <c r="B508" t="s">
        <v>551</v>
      </c>
      <c r="C508" s="24">
        <v>1</v>
      </c>
    </row>
    <row r="509" spans="1:3" x14ac:dyDescent="0.25">
      <c r="A509">
        <v>508</v>
      </c>
      <c r="B509" t="s">
        <v>552</v>
      </c>
      <c r="C509" s="24">
        <v>5</v>
      </c>
    </row>
    <row r="510" spans="1:3" x14ac:dyDescent="0.25">
      <c r="A510">
        <v>509</v>
      </c>
      <c r="B510" t="s">
        <v>553</v>
      </c>
      <c r="C510" s="24">
        <v>1</v>
      </c>
    </row>
    <row r="511" spans="1:3" x14ac:dyDescent="0.25">
      <c r="A511">
        <v>510</v>
      </c>
      <c r="B511" t="s">
        <v>554</v>
      </c>
      <c r="C511" s="24">
        <v>1</v>
      </c>
    </row>
    <row r="512" spans="1:3" x14ac:dyDescent="0.25">
      <c r="A512">
        <v>511</v>
      </c>
      <c r="B512" t="s">
        <v>555</v>
      </c>
      <c r="C512" s="24">
        <v>6</v>
      </c>
    </row>
    <row r="513" spans="1:3" x14ac:dyDescent="0.25">
      <c r="A513">
        <v>512</v>
      </c>
      <c r="B513" t="s">
        <v>556</v>
      </c>
      <c r="C513" s="24">
        <v>1</v>
      </c>
    </row>
    <row r="514" spans="1:3" x14ac:dyDescent="0.25">
      <c r="A514">
        <v>513</v>
      </c>
      <c r="B514" t="s">
        <v>557</v>
      </c>
      <c r="C514" s="24">
        <v>6</v>
      </c>
    </row>
    <row r="515" spans="1:3" x14ac:dyDescent="0.25">
      <c r="A515">
        <v>514</v>
      </c>
      <c r="B515" t="s">
        <v>558</v>
      </c>
      <c r="C515" s="24">
        <v>1</v>
      </c>
    </row>
    <row r="516" spans="1:3" x14ac:dyDescent="0.25">
      <c r="A516">
        <v>515</v>
      </c>
      <c r="B516" t="s">
        <v>559</v>
      </c>
      <c r="C516" s="24">
        <v>1</v>
      </c>
    </row>
    <row r="517" spans="1:3" x14ac:dyDescent="0.25">
      <c r="A517">
        <v>516</v>
      </c>
      <c r="B517" t="s">
        <v>560</v>
      </c>
      <c r="C517" s="24">
        <v>1</v>
      </c>
    </row>
    <row r="518" spans="1:3" x14ac:dyDescent="0.25">
      <c r="A518">
        <v>517</v>
      </c>
      <c r="B518" t="s">
        <v>561</v>
      </c>
      <c r="C518" s="24">
        <v>1</v>
      </c>
    </row>
    <row r="519" spans="1:3" x14ac:dyDescent="0.25">
      <c r="A519">
        <v>518</v>
      </c>
      <c r="B519" t="s">
        <v>562</v>
      </c>
      <c r="C519" s="24">
        <v>3</v>
      </c>
    </row>
    <row r="520" spans="1:3" x14ac:dyDescent="0.25">
      <c r="A520">
        <v>519</v>
      </c>
      <c r="B520" t="s">
        <v>563</v>
      </c>
      <c r="C520" s="24">
        <v>5</v>
      </c>
    </row>
    <row r="521" spans="1:3" x14ac:dyDescent="0.25">
      <c r="A521">
        <v>520</v>
      </c>
      <c r="B521" t="s">
        <v>564</v>
      </c>
      <c r="C521" s="24">
        <v>1</v>
      </c>
    </row>
    <row r="522" spans="1:3" x14ac:dyDescent="0.25">
      <c r="A522">
        <v>521</v>
      </c>
      <c r="B522" t="s">
        <v>565</v>
      </c>
      <c r="C522" s="24">
        <v>2</v>
      </c>
    </row>
    <row r="523" spans="1:3" x14ac:dyDescent="0.25">
      <c r="A523">
        <v>522</v>
      </c>
      <c r="B523" t="s">
        <v>566</v>
      </c>
      <c r="C523" s="24">
        <v>3</v>
      </c>
    </row>
    <row r="524" spans="1:3" x14ac:dyDescent="0.25">
      <c r="A524">
        <v>523</v>
      </c>
      <c r="B524" t="s">
        <v>567</v>
      </c>
      <c r="C524" s="24">
        <v>1</v>
      </c>
    </row>
    <row r="525" spans="1:3" x14ac:dyDescent="0.25">
      <c r="A525">
        <v>524</v>
      </c>
      <c r="B525" t="s">
        <v>568</v>
      </c>
      <c r="C525" s="24">
        <v>1</v>
      </c>
    </row>
    <row r="526" spans="1:3" x14ac:dyDescent="0.25">
      <c r="A526">
        <v>525</v>
      </c>
      <c r="B526" t="s">
        <v>569</v>
      </c>
      <c r="C526" s="24">
        <v>1</v>
      </c>
    </row>
    <row r="527" spans="1:3" x14ac:dyDescent="0.25">
      <c r="A527">
        <v>526</v>
      </c>
      <c r="B527" t="s">
        <v>570</v>
      </c>
      <c r="C527" s="24">
        <v>1</v>
      </c>
    </row>
    <row r="528" spans="1:3" x14ac:dyDescent="0.25">
      <c r="A528">
        <v>527</v>
      </c>
      <c r="B528" t="s">
        <v>571</v>
      </c>
      <c r="C528" s="24">
        <v>1</v>
      </c>
    </row>
    <row r="529" spans="1:3" x14ac:dyDescent="0.25">
      <c r="A529">
        <v>528</v>
      </c>
      <c r="B529" t="s">
        <v>572</v>
      </c>
      <c r="C529" s="24">
        <v>4</v>
      </c>
    </row>
    <row r="530" spans="1:3" x14ac:dyDescent="0.25">
      <c r="A530">
        <v>529</v>
      </c>
      <c r="B530" t="s">
        <v>573</v>
      </c>
      <c r="C530" s="24">
        <v>4</v>
      </c>
    </row>
    <row r="531" spans="1:3" x14ac:dyDescent="0.25">
      <c r="A531">
        <v>530</v>
      </c>
      <c r="B531" t="s">
        <v>574</v>
      </c>
      <c r="C531" s="24">
        <v>1</v>
      </c>
    </row>
    <row r="532" spans="1:3" x14ac:dyDescent="0.25">
      <c r="A532">
        <v>531</v>
      </c>
      <c r="B532" t="s">
        <v>575</v>
      </c>
      <c r="C532" s="24">
        <v>6</v>
      </c>
    </row>
    <row r="533" spans="1:3" x14ac:dyDescent="0.25">
      <c r="A533">
        <v>532</v>
      </c>
      <c r="B533" t="s">
        <v>576</v>
      </c>
      <c r="C533" s="24">
        <v>2</v>
      </c>
    </row>
    <row r="534" spans="1:3" x14ac:dyDescent="0.25">
      <c r="A534">
        <v>533</v>
      </c>
      <c r="B534" t="s">
        <v>577</v>
      </c>
      <c r="C534" s="24">
        <v>1</v>
      </c>
    </row>
    <row r="535" spans="1:3" x14ac:dyDescent="0.25">
      <c r="A535">
        <v>534</v>
      </c>
      <c r="B535" t="s">
        <v>578</v>
      </c>
      <c r="C535" s="24">
        <v>1</v>
      </c>
    </row>
    <row r="536" spans="1:3" x14ac:dyDescent="0.25">
      <c r="A536">
        <v>535</v>
      </c>
      <c r="B536" t="s">
        <v>579</v>
      </c>
      <c r="C536" s="24">
        <v>1</v>
      </c>
    </row>
    <row r="537" spans="1:3" x14ac:dyDescent="0.25">
      <c r="A537">
        <v>536</v>
      </c>
      <c r="B537" t="s">
        <v>580</v>
      </c>
      <c r="C537" s="24">
        <v>1</v>
      </c>
    </row>
    <row r="538" spans="1:3" x14ac:dyDescent="0.25">
      <c r="A538">
        <v>537</v>
      </c>
      <c r="B538" t="s">
        <v>581</v>
      </c>
      <c r="C538" s="24">
        <v>2</v>
      </c>
    </row>
    <row r="539" spans="1:3" x14ac:dyDescent="0.25">
      <c r="A539">
        <v>538</v>
      </c>
      <c r="B539" t="s">
        <v>582</v>
      </c>
      <c r="C539" s="24">
        <v>1</v>
      </c>
    </row>
    <row r="540" spans="1:3" x14ac:dyDescent="0.25">
      <c r="A540">
        <v>539</v>
      </c>
      <c r="B540" t="s">
        <v>583</v>
      </c>
      <c r="C540" s="24">
        <v>2</v>
      </c>
    </row>
    <row r="541" spans="1:3" x14ac:dyDescent="0.25">
      <c r="A541">
        <v>540</v>
      </c>
      <c r="B541" t="s">
        <v>584</v>
      </c>
      <c r="C541" s="24">
        <v>1</v>
      </c>
    </row>
    <row r="542" spans="1:3" x14ac:dyDescent="0.25">
      <c r="A542">
        <v>541</v>
      </c>
      <c r="B542" t="s">
        <v>585</v>
      </c>
      <c r="C542" s="24">
        <v>1</v>
      </c>
    </row>
    <row r="543" spans="1:3" x14ac:dyDescent="0.25">
      <c r="A543">
        <v>542</v>
      </c>
      <c r="B543" t="s">
        <v>586</v>
      </c>
      <c r="C543" s="24">
        <v>1</v>
      </c>
    </row>
    <row r="544" spans="1:3" x14ac:dyDescent="0.25">
      <c r="A544">
        <v>543</v>
      </c>
      <c r="B544" t="s">
        <v>587</v>
      </c>
      <c r="C544" s="24">
        <v>3</v>
      </c>
    </row>
    <row r="545" spans="1:3" x14ac:dyDescent="0.25">
      <c r="A545">
        <v>544</v>
      </c>
      <c r="B545" t="s">
        <v>588</v>
      </c>
      <c r="C545" s="24">
        <v>3</v>
      </c>
    </row>
    <row r="546" spans="1:3" x14ac:dyDescent="0.25">
      <c r="A546">
        <v>545</v>
      </c>
      <c r="B546" t="s">
        <v>589</v>
      </c>
      <c r="C546" s="24">
        <v>2</v>
      </c>
    </row>
    <row r="547" spans="1:3" x14ac:dyDescent="0.25">
      <c r="A547">
        <v>546</v>
      </c>
      <c r="B547" t="s">
        <v>590</v>
      </c>
      <c r="C547" s="24">
        <v>3</v>
      </c>
    </row>
    <row r="548" spans="1:3" x14ac:dyDescent="0.25">
      <c r="A548">
        <v>547</v>
      </c>
      <c r="B548" t="s">
        <v>591</v>
      </c>
      <c r="C548" s="24">
        <v>1</v>
      </c>
    </row>
    <row r="549" spans="1:3" x14ac:dyDescent="0.25">
      <c r="A549">
        <v>548</v>
      </c>
      <c r="B549" t="s">
        <v>592</v>
      </c>
      <c r="C549" s="24">
        <v>2</v>
      </c>
    </row>
    <row r="550" spans="1:3" x14ac:dyDescent="0.25">
      <c r="A550">
        <v>549</v>
      </c>
      <c r="B550" t="s">
        <v>593</v>
      </c>
      <c r="C550" s="24">
        <v>2</v>
      </c>
    </row>
    <row r="551" spans="1:3" x14ac:dyDescent="0.25">
      <c r="A551">
        <v>550</v>
      </c>
      <c r="B551" t="s">
        <v>594</v>
      </c>
      <c r="C551" s="24">
        <v>1</v>
      </c>
    </row>
    <row r="552" spans="1:3" x14ac:dyDescent="0.25">
      <c r="A552">
        <v>551</v>
      </c>
      <c r="B552" t="s">
        <v>595</v>
      </c>
      <c r="C552" s="24">
        <v>6</v>
      </c>
    </row>
    <row r="553" spans="1:3" x14ac:dyDescent="0.25">
      <c r="A553">
        <v>552</v>
      </c>
      <c r="B553" t="s">
        <v>596</v>
      </c>
      <c r="C553" s="24">
        <v>1</v>
      </c>
    </row>
    <row r="554" spans="1:3" x14ac:dyDescent="0.25">
      <c r="A554">
        <v>553</v>
      </c>
      <c r="B554" t="s">
        <v>597</v>
      </c>
      <c r="C554" s="24">
        <v>6</v>
      </c>
    </row>
    <row r="555" spans="1:3" x14ac:dyDescent="0.25">
      <c r="A555">
        <v>554</v>
      </c>
      <c r="B555" t="s">
        <v>598</v>
      </c>
      <c r="C555" s="24">
        <v>2</v>
      </c>
    </row>
    <row r="556" spans="1:3" x14ac:dyDescent="0.25">
      <c r="A556">
        <v>555</v>
      </c>
      <c r="B556" t="s">
        <v>599</v>
      </c>
      <c r="C556" s="24">
        <v>5</v>
      </c>
    </row>
    <row r="557" spans="1:3" x14ac:dyDescent="0.25">
      <c r="A557">
        <v>556</v>
      </c>
      <c r="B557" t="s">
        <v>600</v>
      </c>
      <c r="C557" s="24">
        <v>1</v>
      </c>
    </row>
    <row r="558" spans="1:3" x14ac:dyDescent="0.25">
      <c r="A558">
        <v>557</v>
      </c>
      <c r="B558" t="s">
        <v>601</v>
      </c>
      <c r="C558" s="24">
        <v>1</v>
      </c>
    </row>
    <row r="559" spans="1:3" x14ac:dyDescent="0.25">
      <c r="A559">
        <v>558</v>
      </c>
      <c r="B559" t="s">
        <v>602</v>
      </c>
      <c r="C559" s="24">
        <v>1</v>
      </c>
    </row>
    <row r="560" spans="1:3" x14ac:dyDescent="0.25">
      <c r="A560">
        <v>559</v>
      </c>
      <c r="B560" t="s">
        <v>603</v>
      </c>
      <c r="C560" s="24">
        <v>5</v>
      </c>
    </row>
    <row r="561" spans="1:3" x14ac:dyDescent="0.25">
      <c r="A561">
        <v>560</v>
      </c>
      <c r="B561" t="s">
        <v>604</v>
      </c>
      <c r="C561" s="24">
        <v>1</v>
      </c>
    </row>
    <row r="562" spans="1:3" x14ac:dyDescent="0.25">
      <c r="A562">
        <v>561</v>
      </c>
      <c r="B562" t="s">
        <v>605</v>
      </c>
      <c r="C562" s="24">
        <v>2</v>
      </c>
    </row>
    <row r="563" spans="1:3" x14ac:dyDescent="0.25">
      <c r="A563">
        <v>562</v>
      </c>
      <c r="B563" t="s">
        <v>606</v>
      </c>
      <c r="C563" s="24">
        <v>1</v>
      </c>
    </row>
    <row r="564" spans="1:3" x14ac:dyDescent="0.25">
      <c r="A564">
        <v>563</v>
      </c>
      <c r="B564" t="s">
        <v>607</v>
      </c>
      <c r="C564" s="24">
        <v>1</v>
      </c>
    </row>
    <row r="565" spans="1:3" x14ac:dyDescent="0.25">
      <c r="A565">
        <v>564</v>
      </c>
      <c r="B565" t="s">
        <v>608</v>
      </c>
      <c r="C565" s="24">
        <v>1</v>
      </c>
    </row>
    <row r="566" spans="1:3" x14ac:dyDescent="0.25">
      <c r="A566">
        <v>565</v>
      </c>
      <c r="B566" t="s">
        <v>609</v>
      </c>
      <c r="C566" s="24">
        <v>1</v>
      </c>
    </row>
    <row r="567" spans="1:3" x14ac:dyDescent="0.25">
      <c r="A567">
        <v>566</v>
      </c>
      <c r="B567" t="s">
        <v>610</v>
      </c>
      <c r="C567" s="24">
        <v>1</v>
      </c>
    </row>
    <row r="568" spans="1:3" x14ac:dyDescent="0.25">
      <c r="A568">
        <v>567</v>
      </c>
      <c r="B568" t="s">
        <v>611</v>
      </c>
      <c r="C568" s="24">
        <v>1</v>
      </c>
    </row>
    <row r="569" spans="1:3" x14ac:dyDescent="0.25">
      <c r="A569">
        <v>568</v>
      </c>
      <c r="B569" t="s">
        <v>612</v>
      </c>
      <c r="C569" s="24">
        <v>1</v>
      </c>
    </row>
    <row r="570" spans="1:3" x14ac:dyDescent="0.25">
      <c r="A570">
        <v>569</v>
      </c>
      <c r="B570" t="s">
        <v>613</v>
      </c>
      <c r="C570" s="24">
        <v>1</v>
      </c>
    </row>
    <row r="571" spans="1:3" x14ac:dyDescent="0.25">
      <c r="A571">
        <v>570</v>
      </c>
      <c r="B571" t="s">
        <v>614</v>
      </c>
      <c r="C571" s="24">
        <v>1</v>
      </c>
    </row>
    <row r="572" spans="1:3" x14ac:dyDescent="0.25">
      <c r="A572">
        <v>571</v>
      </c>
      <c r="B572" t="s">
        <v>615</v>
      </c>
      <c r="C572" s="24">
        <v>2</v>
      </c>
    </row>
    <row r="573" spans="1:3" x14ac:dyDescent="0.25">
      <c r="A573">
        <v>572</v>
      </c>
      <c r="B573" t="s">
        <v>616</v>
      </c>
      <c r="C573" s="24">
        <v>1</v>
      </c>
    </row>
    <row r="574" spans="1:3" x14ac:dyDescent="0.25">
      <c r="A574">
        <v>573</v>
      </c>
      <c r="B574" t="s">
        <v>617</v>
      </c>
      <c r="C574" s="24">
        <v>1</v>
      </c>
    </row>
    <row r="575" spans="1:3" x14ac:dyDescent="0.25">
      <c r="A575">
        <v>574</v>
      </c>
      <c r="B575" t="s">
        <v>618</v>
      </c>
      <c r="C575" s="24">
        <v>2</v>
      </c>
    </row>
    <row r="576" spans="1:3" x14ac:dyDescent="0.25">
      <c r="A576">
        <v>575</v>
      </c>
      <c r="B576" t="s">
        <v>619</v>
      </c>
      <c r="C576" s="24">
        <v>2</v>
      </c>
    </row>
    <row r="577" spans="1:3" x14ac:dyDescent="0.25">
      <c r="A577">
        <v>576</v>
      </c>
      <c r="B577" t="s">
        <v>620</v>
      </c>
      <c r="C577" s="24">
        <v>1</v>
      </c>
    </row>
    <row r="578" spans="1:3" x14ac:dyDescent="0.25">
      <c r="A578">
        <v>577</v>
      </c>
      <c r="B578" t="s">
        <v>621</v>
      </c>
      <c r="C578" s="24">
        <v>1</v>
      </c>
    </row>
    <row r="579" spans="1:3" x14ac:dyDescent="0.25">
      <c r="A579">
        <v>578</v>
      </c>
      <c r="B579" t="s">
        <v>622</v>
      </c>
      <c r="C579" s="24">
        <v>1</v>
      </c>
    </row>
    <row r="580" spans="1:3" x14ac:dyDescent="0.25">
      <c r="A580">
        <v>579</v>
      </c>
      <c r="B580" t="s">
        <v>623</v>
      </c>
      <c r="C580" s="24">
        <v>1</v>
      </c>
    </row>
    <row r="581" spans="1:3" x14ac:dyDescent="0.25">
      <c r="A581">
        <v>580</v>
      </c>
      <c r="B581" t="s">
        <v>624</v>
      </c>
      <c r="C581" s="24">
        <v>1</v>
      </c>
    </row>
    <row r="582" spans="1:3" x14ac:dyDescent="0.25">
      <c r="A582">
        <v>581</v>
      </c>
      <c r="B582" t="s">
        <v>625</v>
      </c>
      <c r="C582" s="24">
        <v>2</v>
      </c>
    </row>
    <row r="583" spans="1:3" x14ac:dyDescent="0.25">
      <c r="A583">
        <v>582</v>
      </c>
      <c r="B583" t="s">
        <v>626</v>
      </c>
      <c r="C583" s="24">
        <v>1</v>
      </c>
    </row>
    <row r="584" spans="1:3" x14ac:dyDescent="0.25">
      <c r="A584">
        <v>583</v>
      </c>
      <c r="B584" t="s">
        <v>627</v>
      </c>
      <c r="C584" s="24">
        <v>2</v>
      </c>
    </row>
    <row r="585" spans="1:3" x14ac:dyDescent="0.25">
      <c r="A585">
        <v>584</v>
      </c>
      <c r="B585" t="s">
        <v>628</v>
      </c>
      <c r="C585" s="24">
        <v>4</v>
      </c>
    </row>
    <row r="586" spans="1:3" x14ac:dyDescent="0.25">
      <c r="A586">
        <v>585</v>
      </c>
      <c r="B586" t="s">
        <v>629</v>
      </c>
      <c r="C586" s="24">
        <v>1</v>
      </c>
    </row>
    <row r="587" spans="1:3" x14ac:dyDescent="0.25">
      <c r="A587">
        <v>586</v>
      </c>
      <c r="B587" t="s">
        <v>630</v>
      </c>
      <c r="C587" s="24">
        <v>1</v>
      </c>
    </row>
    <row r="588" spans="1:3" x14ac:dyDescent="0.25">
      <c r="A588">
        <v>587</v>
      </c>
      <c r="B588" t="s">
        <v>631</v>
      </c>
      <c r="C588" s="24">
        <v>1</v>
      </c>
    </row>
    <row r="589" spans="1:3" x14ac:dyDescent="0.25">
      <c r="A589">
        <v>588</v>
      </c>
      <c r="B589" t="s">
        <v>632</v>
      </c>
      <c r="C589" s="24">
        <v>1</v>
      </c>
    </row>
    <row r="590" spans="1:3" x14ac:dyDescent="0.25">
      <c r="A590">
        <v>589</v>
      </c>
      <c r="B590" t="s">
        <v>633</v>
      </c>
      <c r="C590" s="24">
        <v>1</v>
      </c>
    </row>
    <row r="591" spans="1:3" x14ac:dyDescent="0.25">
      <c r="A591">
        <v>590</v>
      </c>
      <c r="B591" t="s">
        <v>634</v>
      </c>
      <c r="C591" s="24">
        <v>2</v>
      </c>
    </row>
    <row r="592" spans="1:3" x14ac:dyDescent="0.25">
      <c r="A592">
        <v>591</v>
      </c>
      <c r="B592" t="s">
        <v>635</v>
      </c>
      <c r="C592" s="24">
        <v>4</v>
      </c>
    </row>
    <row r="593" spans="1:3" x14ac:dyDescent="0.25">
      <c r="A593">
        <v>592</v>
      </c>
      <c r="B593" t="s">
        <v>636</v>
      </c>
      <c r="C593" s="24">
        <v>1</v>
      </c>
    </row>
    <row r="594" spans="1:3" x14ac:dyDescent="0.25">
      <c r="A594">
        <v>593</v>
      </c>
      <c r="B594" t="s">
        <v>637</v>
      </c>
      <c r="C594" s="24">
        <v>2</v>
      </c>
    </row>
    <row r="595" spans="1:3" x14ac:dyDescent="0.25">
      <c r="A595">
        <v>594</v>
      </c>
      <c r="B595" t="s">
        <v>638</v>
      </c>
      <c r="C595" s="24">
        <v>1</v>
      </c>
    </row>
    <row r="596" spans="1:3" x14ac:dyDescent="0.25">
      <c r="A596">
        <v>595</v>
      </c>
      <c r="B596" t="s">
        <v>639</v>
      </c>
      <c r="C596" s="24">
        <v>1</v>
      </c>
    </row>
    <row r="597" spans="1:3" x14ac:dyDescent="0.25">
      <c r="A597">
        <v>596</v>
      </c>
      <c r="B597" t="s">
        <v>640</v>
      </c>
      <c r="C597" s="24">
        <v>1</v>
      </c>
    </row>
    <row r="598" spans="1:3" x14ac:dyDescent="0.25">
      <c r="A598">
        <v>597</v>
      </c>
      <c r="B598" t="s">
        <v>641</v>
      </c>
      <c r="C598" s="24">
        <v>2</v>
      </c>
    </row>
    <row r="599" spans="1:3" x14ac:dyDescent="0.25">
      <c r="A599">
        <v>598</v>
      </c>
      <c r="B599" t="s">
        <v>642</v>
      </c>
      <c r="C599" s="24">
        <v>3</v>
      </c>
    </row>
    <row r="600" spans="1:3" x14ac:dyDescent="0.25">
      <c r="A600">
        <v>599</v>
      </c>
      <c r="B600" t="s">
        <v>643</v>
      </c>
      <c r="C600" s="24">
        <v>4</v>
      </c>
    </row>
    <row r="601" spans="1:3" x14ac:dyDescent="0.25">
      <c r="A601">
        <v>600</v>
      </c>
      <c r="B601" t="s">
        <v>644</v>
      </c>
      <c r="C601" s="24">
        <v>4</v>
      </c>
    </row>
    <row r="602" spans="1:3" x14ac:dyDescent="0.25">
      <c r="A602">
        <v>601</v>
      </c>
      <c r="B602" t="s">
        <v>645</v>
      </c>
      <c r="C602" s="24">
        <v>1</v>
      </c>
    </row>
    <row r="603" spans="1:3" x14ac:dyDescent="0.25">
      <c r="A603">
        <v>602</v>
      </c>
      <c r="B603" t="s">
        <v>646</v>
      </c>
      <c r="C603" s="24">
        <v>1</v>
      </c>
    </row>
    <row r="604" spans="1:3" x14ac:dyDescent="0.25">
      <c r="A604">
        <v>603</v>
      </c>
      <c r="B604" t="s">
        <v>647</v>
      </c>
      <c r="C604" s="24">
        <v>1</v>
      </c>
    </row>
    <row r="605" spans="1:3" x14ac:dyDescent="0.25">
      <c r="A605">
        <v>604</v>
      </c>
      <c r="B605" t="s">
        <v>648</v>
      </c>
      <c r="C605" s="24">
        <v>1</v>
      </c>
    </row>
    <row r="606" spans="1:3" x14ac:dyDescent="0.25">
      <c r="A606">
        <v>605</v>
      </c>
      <c r="B606" t="s">
        <v>649</v>
      </c>
      <c r="C606" s="24">
        <v>1</v>
      </c>
    </row>
    <row r="607" spans="1:3" x14ac:dyDescent="0.25">
      <c r="A607">
        <v>606</v>
      </c>
      <c r="B607" t="s">
        <v>650</v>
      </c>
      <c r="C607" s="24">
        <v>1</v>
      </c>
    </row>
    <row r="608" spans="1:3" x14ac:dyDescent="0.25">
      <c r="A608">
        <v>607</v>
      </c>
      <c r="B608" t="s">
        <v>651</v>
      </c>
      <c r="C608" s="24">
        <v>4</v>
      </c>
    </row>
    <row r="609" spans="1:3" x14ac:dyDescent="0.25">
      <c r="A609">
        <v>608</v>
      </c>
      <c r="B609" t="s">
        <v>652</v>
      </c>
      <c r="C609" s="24">
        <v>1</v>
      </c>
    </row>
    <row r="610" spans="1:3" x14ac:dyDescent="0.25">
      <c r="A610">
        <v>609</v>
      </c>
      <c r="B610" t="s">
        <v>653</v>
      </c>
      <c r="C610" s="24">
        <v>1</v>
      </c>
    </row>
    <row r="611" spans="1:3" x14ac:dyDescent="0.25">
      <c r="A611">
        <v>610</v>
      </c>
      <c r="B611" t="s">
        <v>654</v>
      </c>
      <c r="C611" s="24">
        <v>3</v>
      </c>
    </row>
    <row r="612" spans="1:3" x14ac:dyDescent="0.25">
      <c r="A612">
        <v>611</v>
      </c>
      <c r="B612" t="s">
        <v>655</v>
      </c>
      <c r="C612" s="24">
        <v>4</v>
      </c>
    </row>
    <row r="613" spans="1:3" x14ac:dyDescent="0.25">
      <c r="A613">
        <v>612</v>
      </c>
      <c r="B613" t="s">
        <v>656</v>
      </c>
      <c r="C613" s="24">
        <v>1</v>
      </c>
    </row>
    <row r="614" spans="1:3" x14ac:dyDescent="0.25">
      <c r="A614">
        <v>613</v>
      </c>
      <c r="B614" t="s">
        <v>657</v>
      </c>
      <c r="C614" s="24">
        <v>1</v>
      </c>
    </row>
    <row r="615" spans="1:3" x14ac:dyDescent="0.25">
      <c r="A615">
        <v>614</v>
      </c>
      <c r="B615" t="s">
        <v>658</v>
      </c>
      <c r="C615" s="24">
        <v>1</v>
      </c>
    </row>
    <row r="616" spans="1:3" x14ac:dyDescent="0.25">
      <c r="A616">
        <v>615</v>
      </c>
      <c r="B616" t="s">
        <v>659</v>
      </c>
      <c r="C616" s="24">
        <v>1</v>
      </c>
    </row>
    <row r="617" spans="1:3" x14ac:dyDescent="0.25">
      <c r="A617">
        <v>616</v>
      </c>
      <c r="B617" t="s">
        <v>660</v>
      </c>
      <c r="C617" s="24">
        <v>2</v>
      </c>
    </row>
    <row r="618" spans="1:3" x14ac:dyDescent="0.25">
      <c r="A618">
        <v>617</v>
      </c>
      <c r="B618" t="s">
        <v>661</v>
      </c>
      <c r="C618" s="24">
        <v>5</v>
      </c>
    </row>
    <row r="619" spans="1:3" x14ac:dyDescent="0.25">
      <c r="A619">
        <v>618</v>
      </c>
      <c r="B619" t="s">
        <v>662</v>
      </c>
      <c r="C619" s="24">
        <v>1</v>
      </c>
    </row>
    <row r="620" spans="1:3" x14ac:dyDescent="0.25">
      <c r="A620">
        <v>619</v>
      </c>
      <c r="B620" t="s">
        <v>663</v>
      </c>
      <c r="C620" s="24">
        <v>1</v>
      </c>
    </row>
    <row r="621" spans="1:3" x14ac:dyDescent="0.25">
      <c r="A621">
        <v>620</v>
      </c>
      <c r="B621" t="s">
        <v>664</v>
      </c>
      <c r="C621" s="24">
        <v>1</v>
      </c>
    </row>
    <row r="622" spans="1:3" x14ac:dyDescent="0.25">
      <c r="A622">
        <v>621</v>
      </c>
      <c r="B622" t="s">
        <v>665</v>
      </c>
      <c r="C622" s="24">
        <v>2</v>
      </c>
    </row>
    <row r="623" spans="1:3" x14ac:dyDescent="0.25">
      <c r="A623">
        <v>622</v>
      </c>
      <c r="B623" t="s">
        <v>666</v>
      </c>
      <c r="C623" s="24">
        <v>3</v>
      </c>
    </row>
    <row r="624" spans="1:3" x14ac:dyDescent="0.25">
      <c r="A624">
        <v>623</v>
      </c>
      <c r="B624" t="s">
        <v>667</v>
      </c>
      <c r="C624" s="24">
        <v>5</v>
      </c>
    </row>
    <row r="625" spans="1:3" x14ac:dyDescent="0.25">
      <c r="A625">
        <v>624</v>
      </c>
      <c r="B625" t="s">
        <v>668</v>
      </c>
      <c r="C625" s="24">
        <v>2</v>
      </c>
    </row>
    <row r="626" spans="1:3" x14ac:dyDescent="0.25">
      <c r="A626">
        <v>625</v>
      </c>
      <c r="B626" t="s">
        <v>669</v>
      </c>
      <c r="C626" s="24">
        <v>1</v>
      </c>
    </row>
    <row r="627" spans="1:3" x14ac:dyDescent="0.25">
      <c r="A627">
        <v>626</v>
      </c>
      <c r="B627" t="s">
        <v>670</v>
      </c>
      <c r="C627" s="24">
        <v>2</v>
      </c>
    </row>
    <row r="628" spans="1:3" x14ac:dyDescent="0.25">
      <c r="A628">
        <v>627</v>
      </c>
      <c r="B628" t="s">
        <v>671</v>
      </c>
      <c r="C628" s="24">
        <v>1</v>
      </c>
    </row>
    <row r="629" spans="1:3" x14ac:dyDescent="0.25">
      <c r="A629">
        <v>628</v>
      </c>
      <c r="B629" t="s">
        <v>672</v>
      </c>
      <c r="C629" s="24">
        <v>1</v>
      </c>
    </row>
    <row r="630" spans="1:3" x14ac:dyDescent="0.25">
      <c r="A630">
        <v>629</v>
      </c>
      <c r="B630" t="s">
        <v>673</v>
      </c>
      <c r="C630" s="24">
        <v>1</v>
      </c>
    </row>
    <row r="631" spans="1:3" x14ac:dyDescent="0.25">
      <c r="A631">
        <v>630</v>
      </c>
      <c r="B631" t="s">
        <v>674</v>
      </c>
      <c r="C631" s="24">
        <v>1</v>
      </c>
    </row>
    <row r="632" spans="1:3" x14ac:dyDescent="0.25">
      <c r="A632">
        <v>631</v>
      </c>
      <c r="B632" t="s">
        <v>675</v>
      </c>
      <c r="C632" s="24">
        <v>6</v>
      </c>
    </row>
    <row r="633" spans="1:3" x14ac:dyDescent="0.25">
      <c r="A633">
        <v>632</v>
      </c>
      <c r="B633" t="s">
        <v>676</v>
      </c>
      <c r="C633" s="24">
        <v>2</v>
      </c>
    </row>
    <row r="634" spans="1:3" x14ac:dyDescent="0.25">
      <c r="A634">
        <v>633</v>
      </c>
      <c r="B634" t="s">
        <v>677</v>
      </c>
      <c r="C634" s="24">
        <v>3</v>
      </c>
    </row>
    <row r="635" spans="1:3" x14ac:dyDescent="0.25">
      <c r="A635">
        <v>634</v>
      </c>
      <c r="B635" t="s">
        <v>678</v>
      </c>
      <c r="C635" s="24">
        <v>5</v>
      </c>
    </row>
    <row r="636" spans="1:3" x14ac:dyDescent="0.25">
      <c r="A636">
        <v>635</v>
      </c>
      <c r="B636" t="s">
        <v>679</v>
      </c>
      <c r="C636" s="24">
        <v>1</v>
      </c>
    </row>
    <row r="637" spans="1:3" x14ac:dyDescent="0.25">
      <c r="A637">
        <v>636</v>
      </c>
      <c r="B637" t="s">
        <v>680</v>
      </c>
      <c r="C637" s="24">
        <v>2</v>
      </c>
    </row>
    <row r="638" spans="1:3" x14ac:dyDescent="0.25">
      <c r="A638">
        <v>637</v>
      </c>
      <c r="B638" t="s">
        <v>681</v>
      </c>
      <c r="C638" s="24">
        <v>3</v>
      </c>
    </row>
    <row r="639" spans="1:3" x14ac:dyDescent="0.25">
      <c r="A639">
        <v>638</v>
      </c>
      <c r="B639" t="s">
        <v>682</v>
      </c>
      <c r="C639" s="24">
        <v>1</v>
      </c>
    </row>
    <row r="640" spans="1:3" x14ac:dyDescent="0.25">
      <c r="A640">
        <v>639</v>
      </c>
      <c r="B640" t="s">
        <v>683</v>
      </c>
      <c r="C640" s="24">
        <v>4</v>
      </c>
    </row>
    <row r="641" spans="1:3" x14ac:dyDescent="0.25">
      <c r="A641">
        <v>640</v>
      </c>
      <c r="B641" t="s">
        <v>684</v>
      </c>
      <c r="C641" s="24">
        <v>1</v>
      </c>
    </row>
    <row r="642" spans="1:3" x14ac:dyDescent="0.25">
      <c r="A642">
        <v>641</v>
      </c>
      <c r="B642" t="s">
        <v>685</v>
      </c>
      <c r="C642" s="24">
        <v>6</v>
      </c>
    </row>
    <row r="643" spans="1:3" x14ac:dyDescent="0.25">
      <c r="A643">
        <v>642</v>
      </c>
      <c r="B643" t="s">
        <v>686</v>
      </c>
      <c r="C643" s="24">
        <v>1</v>
      </c>
    </row>
    <row r="644" spans="1:3" x14ac:dyDescent="0.25">
      <c r="A644">
        <v>643</v>
      </c>
      <c r="B644" t="s">
        <v>687</v>
      </c>
      <c r="C644" s="24">
        <v>2</v>
      </c>
    </row>
    <row r="645" spans="1:3" x14ac:dyDescent="0.25">
      <c r="A645">
        <v>644</v>
      </c>
      <c r="B645" t="s">
        <v>688</v>
      </c>
      <c r="C645" s="24">
        <v>5</v>
      </c>
    </row>
    <row r="646" spans="1:3" x14ac:dyDescent="0.25">
      <c r="A646">
        <v>645</v>
      </c>
      <c r="B646" t="s">
        <v>689</v>
      </c>
      <c r="C646" s="24">
        <v>2</v>
      </c>
    </row>
    <row r="647" spans="1:3" x14ac:dyDescent="0.25">
      <c r="A647">
        <v>646</v>
      </c>
      <c r="B647" t="s">
        <v>690</v>
      </c>
      <c r="C647" s="24">
        <v>3</v>
      </c>
    </row>
    <row r="648" spans="1:3" x14ac:dyDescent="0.25">
      <c r="A648">
        <v>647</v>
      </c>
      <c r="B648" t="s">
        <v>691</v>
      </c>
      <c r="C648" s="24">
        <v>1</v>
      </c>
    </row>
    <row r="649" spans="1:3" x14ac:dyDescent="0.25">
      <c r="A649">
        <v>648</v>
      </c>
      <c r="B649" t="s">
        <v>692</v>
      </c>
      <c r="C649" s="24">
        <v>1</v>
      </c>
    </row>
    <row r="650" spans="1:3" x14ac:dyDescent="0.25">
      <c r="A650">
        <v>649</v>
      </c>
      <c r="B650" t="s">
        <v>693</v>
      </c>
      <c r="C650" s="24">
        <v>1</v>
      </c>
    </row>
    <row r="651" spans="1:3" x14ac:dyDescent="0.25">
      <c r="A651">
        <v>650</v>
      </c>
      <c r="B651" t="s">
        <v>694</v>
      </c>
      <c r="C651" s="24">
        <v>1</v>
      </c>
    </row>
    <row r="652" spans="1:3" x14ac:dyDescent="0.25">
      <c r="A652">
        <v>651</v>
      </c>
      <c r="B652" t="s">
        <v>695</v>
      </c>
      <c r="C652" s="24">
        <v>2</v>
      </c>
    </row>
    <row r="653" spans="1:3" x14ac:dyDescent="0.25">
      <c r="A653">
        <v>652</v>
      </c>
      <c r="B653" t="s">
        <v>696</v>
      </c>
      <c r="C653" s="24">
        <v>1</v>
      </c>
    </row>
    <row r="654" spans="1:3" x14ac:dyDescent="0.25">
      <c r="A654">
        <v>653</v>
      </c>
      <c r="B654" t="s">
        <v>697</v>
      </c>
      <c r="C654" s="24">
        <v>1</v>
      </c>
    </row>
    <row r="655" spans="1:3" x14ac:dyDescent="0.25">
      <c r="A655">
        <v>654</v>
      </c>
      <c r="B655" t="s">
        <v>698</v>
      </c>
      <c r="C655" s="24">
        <v>1</v>
      </c>
    </row>
    <row r="656" spans="1:3" x14ac:dyDescent="0.25">
      <c r="A656">
        <v>655</v>
      </c>
      <c r="B656" t="s">
        <v>699</v>
      </c>
      <c r="C656" s="24">
        <v>1</v>
      </c>
    </row>
    <row r="657" spans="1:3" x14ac:dyDescent="0.25">
      <c r="A657">
        <v>656</v>
      </c>
      <c r="B657" t="s">
        <v>700</v>
      </c>
      <c r="C657" s="24">
        <v>5</v>
      </c>
    </row>
    <row r="658" spans="1:3" x14ac:dyDescent="0.25">
      <c r="A658">
        <v>657</v>
      </c>
      <c r="B658" t="s">
        <v>701</v>
      </c>
      <c r="C658" s="24">
        <v>3</v>
      </c>
    </row>
    <row r="659" spans="1:3" x14ac:dyDescent="0.25">
      <c r="A659">
        <v>658</v>
      </c>
      <c r="B659" t="s">
        <v>702</v>
      </c>
      <c r="C659" s="24">
        <v>1</v>
      </c>
    </row>
    <row r="660" spans="1:3" x14ac:dyDescent="0.25">
      <c r="A660">
        <v>659</v>
      </c>
      <c r="B660" t="s">
        <v>703</v>
      </c>
      <c r="C660" s="24">
        <v>1</v>
      </c>
    </row>
    <row r="661" spans="1:3" x14ac:dyDescent="0.25">
      <c r="A661">
        <v>660</v>
      </c>
      <c r="B661" t="s">
        <v>704</v>
      </c>
      <c r="C661" s="24">
        <v>1</v>
      </c>
    </row>
    <row r="662" spans="1:3" x14ac:dyDescent="0.25">
      <c r="A662">
        <v>661</v>
      </c>
      <c r="B662" t="s">
        <v>705</v>
      </c>
      <c r="C662" s="24">
        <v>1</v>
      </c>
    </row>
    <row r="663" spans="1:3" x14ac:dyDescent="0.25">
      <c r="A663">
        <v>662</v>
      </c>
      <c r="B663" t="s">
        <v>706</v>
      </c>
      <c r="C663" s="24">
        <v>1</v>
      </c>
    </row>
    <row r="664" spans="1:3" x14ac:dyDescent="0.25">
      <c r="A664">
        <v>663</v>
      </c>
      <c r="B664" t="s">
        <v>707</v>
      </c>
      <c r="C664" s="24">
        <v>1</v>
      </c>
    </row>
    <row r="665" spans="1:3" x14ac:dyDescent="0.25">
      <c r="A665">
        <v>664</v>
      </c>
      <c r="B665" t="s">
        <v>708</v>
      </c>
      <c r="C665" s="24">
        <v>2</v>
      </c>
    </row>
    <row r="666" spans="1:3" x14ac:dyDescent="0.25">
      <c r="A666">
        <v>665</v>
      </c>
      <c r="B666" t="s">
        <v>709</v>
      </c>
      <c r="C666" s="24">
        <v>1</v>
      </c>
    </row>
    <row r="667" spans="1:3" x14ac:dyDescent="0.25">
      <c r="A667">
        <v>666</v>
      </c>
      <c r="B667" t="s">
        <v>710</v>
      </c>
      <c r="C667" s="24">
        <v>1</v>
      </c>
    </row>
    <row r="668" spans="1:3" x14ac:dyDescent="0.25">
      <c r="A668">
        <v>667</v>
      </c>
      <c r="B668" t="s">
        <v>711</v>
      </c>
      <c r="C668" s="24">
        <v>1</v>
      </c>
    </row>
    <row r="669" spans="1:3" x14ac:dyDescent="0.25">
      <c r="A669">
        <v>668</v>
      </c>
      <c r="B669" t="s">
        <v>712</v>
      </c>
      <c r="C669" s="24">
        <v>1</v>
      </c>
    </row>
    <row r="670" spans="1:3" x14ac:dyDescent="0.25">
      <c r="A670">
        <v>669</v>
      </c>
      <c r="B670" t="s">
        <v>713</v>
      </c>
      <c r="C670" s="24">
        <v>1</v>
      </c>
    </row>
    <row r="671" spans="1:3" x14ac:dyDescent="0.25">
      <c r="A671">
        <v>670</v>
      </c>
      <c r="B671" t="s">
        <v>714</v>
      </c>
      <c r="C671" s="24">
        <v>4</v>
      </c>
    </row>
    <row r="672" spans="1:3" x14ac:dyDescent="0.25">
      <c r="A672">
        <v>671</v>
      </c>
      <c r="B672" t="s">
        <v>715</v>
      </c>
      <c r="C672" s="24">
        <v>1</v>
      </c>
    </row>
    <row r="673" spans="1:3" x14ac:dyDescent="0.25">
      <c r="A673">
        <v>672</v>
      </c>
      <c r="B673" t="s">
        <v>716</v>
      </c>
      <c r="C673" s="24">
        <v>5</v>
      </c>
    </row>
    <row r="674" spans="1:3" x14ac:dyDescent="0.25">
      <c r="A674">
        <v>673</v>
      </c>
      <c r="B674" t="s">
        <v>717</v>
      </c>
      <c r="C674" s="24">
        <v>1</v>
      </c>
    </row>
    <row r="675" spans="1:3" x14ac:dyDescent="0.25">
      <c r="A675">
        <v>674</v>
      </c>
      <c r="B675" t="s">
        <v>718</v>
      </c>
      <c r="C675" s="24">
        <v>1</v>
      </c>
    </row>
    <row r="676" spans="1:3" x14ac:dyDescent="0.25">
      <c r="A676">
        <v>675</v>
      </c>
      <c r="B676" t="s">
        <v>719</v>
      </c>
      <c r="C676" s="24">
        <v>1</v>
      </c>
    </row>
    <row r="677" spans="1:3" x14ac:dyDescent="0.25">
      <c r="A677">
        <v>676</v>
      </c>
      <c r="B677" t="s">
        <v>720</v>
      </c>
      <c r="C677" s="24">
        <v>2</v>
      </c>
    </row>
    <row r="678" spans="1:3" x14ac:dyDescent="0.25">
      <c r="A678">
        <v>677</v>
      </c>
      <c r="B678" t="s">
        <v>721</v>
      </c>
      <c r="C678" s="24">
        <v>4</v>
      </c>
    </row>
    <row r="679" spans="1:3" x14ac:dyDescent="0.25">
      <c r="A679">
        <v>678</v>
      </c>
      <c r="B679" t="s">
        <v>722</v>
      </c>
      <c r="C679" s="24">
        <v>2</v>
      </c>
    </row>
    <row r="680" spans="1:3" x14ac:dyDescent="0.25">
      <c r="A680">
        <v>679</v>
      </c>
      <c r="B680" t="s">
        <v>723</v>
      </c>
      <c r="C680" s="24">
        <v>1</v>
      </c>
    </row>
    <row r="681" spans="1:3" x14ac:dyDescent="0.25">
      <c r="A681">
        <v>680</v>
      </c>
      <c r="B681" t="s">
        <v>724</v>
      </c>
      <c r="C681" s="24">
        <v>1</v>
      </c>
    </row>
    <row r="682" spans="1:3" x14ac:dyDescent="0.25">
      <c r="A682">
        <v>681</v>
      </c>
      <c r="B682" t="s">
        <v>725</v>
      </c>
      <c r="C682" s="24">
        <v>6</v>
      </c>
    </row>
    <row r="683" spans="1:3" x14ac:dyDescent="0.25">
      <c r="A683">
        <v>682</v>
      </c>
      <c r="B683" t="s">
        <v>726</v>
      </c>
      <c r="C683" s="24">
        <v>1</v>
      </c>
    </row>
    <row r="684" spans="1:3" x14ac:dyDescent="0.25">
      <c r="A684">
        <v>683</v>
      </c>
      <c r="B684" t="s">
        <v>727</v>
      </c>
      <c r="C684" s="24">
        <v>1</v>
      </c>
    </row>
    <row r="685" spans="1:3" x14ac:dyDescent="0.25">
      <c r="A685">
        <v>684</v>
      </c>
      <c r="B685" t="s">
        <v>728</v>
      </c>
      <c r="C685" s="24">
        <v>1</v>
      </c>
    </row>
    <row r="686" spans="1:3" x14ac:dyDescent="0.25">
      <c r="A686">
        <v>685</v>
      </c>
      <c r="B686" t="s">
        <v>729</v>
      </c>
      <c r="C686" s="24">
        <v>1</v>
      </c>
    </row>
    <row r="687" spans="1:3" x14ac:dyDescent="0.25">
      <c r="A687">
        <v>686</v>
      </c>
      <c r="B687" t="s">
        <v>730</v>
      </c>
      <c r="C687" s="24">
        <v>2</v>
      </c>
    </row>
    <row r="688" spans="1:3" x14ac:dyDescent="0.25">
      <c r="A688">
        <v>687</v>
      </c>
      <c r="B688" t="s">
        <v>731</v>
      </c>
      <c r="C688" s="24">
        <v>1</v>
      </c>
    </row>
    <row r="689" spans="1:3" x14ac:dyDescent="0.25">
      <c r="A689">
        <v>688</v>
      </c>
      <c r="B689" t="s">
        <v>732</v>
      </c>
      <c r="C689" s="24">
        <v>1</v>
      </c>
    </row>
    <row r="690" spans="1:3" x14ac:dyDescent="0.25">
      <c r="A690">
        <v>689</v>
      </c>
      <c r="B690" t="s">
        <v>733</v>
      </c>
      <c r="C690" s="24">
        <v>2</v>
      </c>
    </row>
    <row r="691" spans="1:3" x14ac:dyDescent="0.25">
      <c r="A691">
        <v>690</v>
      </c>
      <c r="B691" t="s">
        <v>734</v>
      </c>
      <c r="C691" s="24">
        <v>3</v>
      </c>
    </row>
    <row r="692" spans="1:3" x14ac:dyDescent="0.25">
      <c r="A692">
        <v>691</v>
      </c>
      <c r="B692" t="s">
        <v>735</v>
      </c>
      <c r="C692" s="24">
        <v>5</v>
      </c>
    </row>
    <row r="693" spans="1:3" x14ac:dyDescent="0.25">
      <c r="A693">
        <v>692</v>
      </c>
      <c r="B693" t="s">
        <v>736</v>
      </c>
      <c r="C693" s="24">
        <v>1</v>
      </c>
    </row>
    <row r="694" spans="1:3" x14ac:dyDescent="0.25">
      <c r="A694">
        <v>693</v>
      </c>
      <c r="B694" t="s">
        <v>737</v>
      </c>
      <c r="C694" s="24">
        <v>2</v>
      </c>
    </row>
    <row r="695" spans="1:3" x14ac:dyDescent="0.25">
      <c r="A695">
        <v>694</v>
      </c>
      <c r="B695" t="s">
        <v>738</v>
      </c>
      <c r="C695" s="24">
        <v>1</v>
      </c>
    </row>
    <row r="696" spans="1:3" x14ac:dyDescent="0.25">
      <c r="A696">
        <v>695</v>
      </c>
      <c r="B696" t="s">
        <v>739</v>
      </c>
      <c r="C696" s="24">
        <v>1</v>
      </c>
    </row>
    <row r="697" spans="1:3" x14ac:dyDescent="0.25">
      <c r="A697">
        <v>696</v>
      </c>
      <c r="B697" t="s">
        <v>740</v>
      </c>
      <c r="C697" s="24">
        <v>1</v>
      </c>
    </row>
    <row r="698" spans="1:3" x14ac:dyDescent="0.25">
      <c r="A698">
        <v>697</v>
      </c>
      <c r="B698" t="s">
        <v>741</v>
      </c>
      <c r="C698" s="24">
        <v>5</v>
      </c>
    </row>
    <row r="699" spans="1:3" x14ac:dyDescent="0.25">
      <c r="A699">
        <v>698</v>
      </c>
      <c r="B699" t="s">
        <v>742</v>
      </c>
      <c r="C699" s="24">
        <v>1</v>
      </c>
    </row>
    <row r="700" spans="1:3" x14ac:dyDescent="0.25">
      <c r="A700">
        <v>699</v>
      </c>
      <c r="B700" t="s">
        <v>743</v>
      </c>
      <c r="C700" s="24">
        <v>1</v>
      </c>
    </row>
    <row r="701" spans="1:3" x14ac:dyDescent="0.25">
      <c r="A701">
        <v>700</v>
      </c>
      <c r="B701" t="s">
        <v>744</v>
      </c>
      <c r="C701" s="24">
        <v>1</v>
      </c>
    </row>
    <row r="702" spans="1:3" x14ac:dyDescent="0.25">
      <c r="A702">
        <v>701</v>
      </c>
      <c r="B702" t="s">
        <v>745</v>
      </c>
      <c r="C702" s="24">
        <v>1</v>
      </c>
    </row>
    <row r="703" spans="1:3" x14ac:dyDescent="0.25">
      <c r="A703">
        <v>702</v>
      </c>
      <c r="B703" t="s">
        <v>746</v>
      </c>
      <c r="C703" s="24">
        <v>1</v>
      </c>
    </row>
    <row r="704" spans="1:3" x14ac:dyDescent="0.25">
      <c r="A704">
        <v>703</v>
      </c>
      <c r="B704" t="s">
        <v>747</v>
      </c>
      <c r="C704" s="24">
        <v>1</v>
      </c>
    </row>
    <row r="705" spans="1:3" x14ac:dyDescent="0.25">
      <c r="A705">
        <v>704</v>
      </c>
      <c r="B705" t="s">
        <v>748</v>
      </c>
      <c r="C705" s="24">
        <v>5</v>
      </c>
    </row>
    <row r="706" spans="1:3" x14ac:dyDescent="0.25">
      <c r="A706">
        <v>705</v>
      </c>
      <c r="B706" t="s">
        <v>749</v>
      </c>
      <c r="C706" s="24">
        <v>1</v>
      </c>
    </row>
    <row r="707" spans="1:3" x14ac:dyDescent="0.25">
      <c r="A707">
        <v>706</v>
      </c>
      <c r="B707" t="s">
        <v>750</v>
      </c>
      <c r="C707" s="24">
        <v>1</v>
      </c>
    </row>
    <row r="708" spans="1:3" x14ac:dyDescent="0.25">
      <c r="A708">
        <v>707</v>
      </c>
      <c r="B708" t="s">
        <v>751</v>
      </c>
      <c r="C708" s="24">
        <v>2</v>
      </c>
    </row>
    <row r="709" spans="1:3" x14ac:dyDescent="0.25">
      <c r="A709">
        <v>708</v>
      </c>
      <c r="B709" t="s">
        <v>752</v>
      </c>
      <c r="C709" s="24">
        <v>1</v>
      </c>
    </row>
    <row r="710" spans="1:3" x14ac:dyDescent="0.25">
      <c r="A710">
        <v>709</v>
      </c>
      <c r="B710" t="s">
        <v>753</v>
      </c>
      <c r="C710" s="24">
        <v>1</v>
      </c>
    </row>
    <row r="711" spans="1:3" x14ac:dyDescent="0.25">
      <c r="A711">
        <v>710</v>
      </c>
      <c r="B711" t="s">
        <v>754</v>
      </c>
      <c r="C711" s="24">
        <v>1</v>
      </c>
    </row>
    <row r="712" spans="1:3" x14ac:dyDescent="0.25">
      <c r="A712">
        <v>711</v>
      </c>
      <c r="B712" t="s">
        <v>755</v>
      </c>
      <c r="C712" s="24">
        <v>1</v>
      </c>
    </row>
    <row r="713" spans="1:3" x14ac:dyDescent="0.25">
      <c r="A713">
        <v>712</v>
      </c>
      <c r="B713" t="s">
        <v>756</v>
      </c>
      <c r="C713" s="24">
        <v>5</v>
      </c>
    </row>
    <row r="714" spans="1:3" x14ac:dyDescent="0.25">
      <c r="A714">
        <v>713</v>
      </c>
      <c r="B714" t="s">
        <v>757</v>
      </c>
      <c r="C714" s="24">
        <v>1</v>
      </c>
    </row>
    <row r="715" spans="1:3" x14ac:dyDescent="0.25">
      <c r="A715">
        <v>714</v>
      </c>
      <c r="B715" t="s">
        <v>758</v>
      </c>
      <c r="C715" s="24">
        <v>1</v>
      </c>
    </row>
    <row r="716" spans="1:3" x14ac:dyDescent="0.25">
      <c r="A716">
        <v>715</v>
      </c>
      <c r="B716" t="s">
        <v>759</v>
      </c>
      <c r="C716" s="24">
        <v>1</v>
      </c>
    </row>
    <row r="717" spans="1:3" x14ac:dyDescent="0.25">
      <c r="A717">
        <v>716</v>
      </c>
      <c r="B717" t="s">
        <v>760</v>
      </c>
      <c r="C717" s="24">
        <v>1</v>
      </c>
    </row>
    <row r="718" spans="1:3" x14ac:dyDescent="0.25">
      <c r="A718">
        <v>717</v>
      </c>
      <c r="B718" t="s">
        <v>761</v>
      </c>
      <c r="C718" s="24">
        <v>1</v>
      </c>
    </row>
    <row r="719" spans="1:3" x14ac:dyDescent="0.25">
      <c r="A719">
        <v>718</v>
      </c>
      <c r="B719" t="s">
        <v>762</v>
      </c>
      <c r="C719" s="24">
        <v>1</v>
      </c>
    </row>
    <row r="720" spans="1:3" x14ac:dyDescent="0.25">
      <c r="A720">
        <v>719</v>
      </c>
      <c r="B720" t="s">
        <v>763</v>
      </c>
      <c r="C720" s="24">
        <v>1</v>
      </c>
    </row>
    <row r="721" spans="1:3" x14ac:dyDescent="0.25">
      <c r="A721">
        <v>720</v>
      </c>
      <c r="B721" t="s">
        <v>764</v>
      </c>
      <c r="C721" s="24">
        <v>4</v>
      </c>
    </row>
    <row r="722" spans="1:3" x14ac:dyDescent="0.25">
      <c r="A722">
        <v>721</v>
      </c>
      <c r="B722" t="s">
        <v>765</v>
      </c>
      <c r="C722" s="24">
        <v>1</v>
      </c>
    </row>
    <row r="723" spans="1:3" x14ac:dyDescent="0.25">
      <c r="A723">
        <v>722</v>
      </c>
      <c r="B723" t="s">
        <v>766</v>
      </c>
      <c r="C723" s="24">
        <v>2</v>
      </c>
    </row>
    <row r="724" spans="1:3" x14ac:dyDescent="0.25">
      <c r="A724">
        <v>723</v>
      </c>
      <c r="B724" t="s">
        <v>767</v>
      </c>
      <c r="C724" s="24">
        <v>1</v>
      </c>
    </row>
    <row r="725" spans="1:3" x14ac:dyDescent="0.25">
      <c r="A725">
        <v>724</v>
      </c>
      <c r="B725" t="s">
        <v>768</v>
      </c>
      <c r="C725" s="24">
        <v>4</v>
      </c>
    </row>
    <row r="726" spans="1:3" x14ac:dyDescent="0.25">
      <c r="A726">
        <v>725</v>
      </c>
      <c r="B726" t="s">
        <v>769</v>
      </c>
      <c r="C726" s="24">
        <v>1</v>
      </c>
    </row>
    <row r="727" spans="1:3" x14ac:dyDescent="0.25">
      <c r="A727">
        <v>726</v>
      </c>
      <c r="B727" t="s">
        <v>770</v>
      </c>
      <c r="C727" s="24">
        <v>1</v>
      </c>
    </row>
    <row r="728" spans="1:3" x14ac:dyDescent="0.25">
      <c r="A728">
        <v>727</v>
      </c>
      <c r="B728" t="s">
        <v>771</v>
      </c>
      <c r="C728" s="24">
        <v>1</v>
      </c>
    </row>
    <row r="729" spans="1:3" x14ac:dyDescent="0.25">
      <c r="A729">
        <v>728</v>
      </c>
      <c r="B729" t="s">
        <v>772</v>
      </c>
      <c r="C729" s="24">
        <v>2</v>
      </c>
    </row>
    <row r="730" spans="1:3" x14ac:dyDescent="0.25">
      <c r="A730">
        <v>729</v>
      </c>
      <c r="B730" t="s">
        <v>773</v>
      </c>
      <c r="C730" s="24">
        <v>4</v>
      </c>
    </row>
    <row r="731" spans="1:3" x14ac:dyDescent="0.25">
      <c r="A731">
        <v>730</v>
      </c>
      <c r="B731" t="s">
        <v>774</v>
      </c>
      <c r="C731" s="24">
        <v>6</v>
      </c>
    </row>
    <row r="732" spans="1:3" x14ac:dyDescent="0.25">
      <c r="A732">
        <v>731</v>
      </c>
      <c r="B732" t="s">
        <v>775</v>
      </c>
      <c r="C732" s="24">
        <v>5</v>
      </c>
    </row>
    <row r="733" spans="1:3" x14ac:dyDescent="0.25">
      <c r="A733">
        <v>732</v>
      </c>
      <c r="B733" t="s">
        <v>776</v>
      </c>
      <c r="C733" s="24">
        <v>1</v>
      </c>
    </row>
    <row r="734" spans="1:3" x14ac:dyDescent="0.25">
      <c r="A734">
        <v>733</v>
      </c>
      <c r="B734" t="s">
        <v>777</v>
      </c>
      <c r="C734" s="24">
        <v>1</v>
      </c>
    </row>
    <row r="735" spans="1:3" x14ac:dyDescent="0.25">
      <c r="A735">
        <v>734</v>
      </c>
      <c r="B735" t="s">
        <v>778</v>
      </c>
      <c r="C735" s="24">
        <v>2</v>
      </c>
    </row>
    <row r="736" spans="1:3" x14ac:dyDescent="0.25">
      <c r="A736">
        <v>735</v>
      </c>
      <c r="B736" t="s">
        <v>779</v>
      </c>
      <c r="C736" s="24">
        <v>1</v>
      </c>
    </row>
    <row r="737" spans="1:3" x14ac:dyDescent="0.25">
      <c r="A737">
        <v>736</v>
      </c>
      <c r="B737" t="s">
        <v>780</v>
      </c>
      <c r="C737" s="24">
        <v>1</v>
      </c>
    </row>
    <row r="738" spans="1:3" x14ac:dyDescent="0.25">
      <c r="A738">
        <v>737</v>
      </c>
      <c r="B738" t="s">
        <v>781</v>
      </c>
      <c r="C738" s="24">
        <v>1</v>
      </c>
    </row>
    <row r="739" spans="1:3" x14ac:dyDescent="0.25">
      <c r="A739">
        <v>738</v>
      </c>
      <c r="B739" t="s">
        <v>782</v>
      </c>
      <c r="C739" s="24">
        <v>3</v>
      </c>
    </row>
    <row r="740" spans="1:3" x14ac:dyDescent="0.25">
      <c r="A740">
        <v>739</v>
      </c>
      <c r="B740" t="s">
        <v>783</v>
      </c>
      <c r="C740" s="24">
        <v>1</v>
      </c>
    </row>
    <row r="741" spans="1:3" x14ac:dyDescent="0.25">
      <c r="A741">
        <v>740</v>
      </c>
      <c r="B741" t="s">
        <v>784</v>
      </c>
      <c r="C741" s="24">
        <v>2</v>
      </c>
    </row>
    <row r="742" spans="1:3" x14ac:dyDescent="0.25">
      <c r="A742">
        <v>741</v>
      </c>
      <c r="B742" t="s">
        <v>785</v>
      </c>
      <c r="C742" s="24">
        <v>2</v>
      </c>
    </row>
    <row r="743" spans="1:3" x14ac:dyDescent="0.25">
      <c r="A743">
        <v>742</v>
      </c>
      <c r="B743" t="s">
        <v>786</v>
      </c>
      <c r="C743" s="24">
        <v>1</v>
      </c>
    </row>
    <row r="744" spans="1:3" x14ac:dyDescent="0.25">
      <c r="A744">
        <v>743</v>
      </c>
      <c r="B744" t="s">
        <v>787</v>
      </c>
      <c r="C744" s="24">
        <v>4</v>
      </c>
    </row>
    <row r="745" spans="1:3" x14ac:dyDescent="0.25">
      <c r="A745">
        <v>744</v>
      </c>
      <c r="B745" t="s">
        <v>788</v>
      </c>
      <c r="C745" s="24">
        <v>1</v>
      </c>
    </row>
    <row r="746" spans="1:3" x14ac:dyDescent="0.25">
      <c r="A746">
        <v>745</v>
      </c>
      <c r="B746" t="s">
        <v>789</v>
      </c>
      <c r="C746" s="24">
        <v>1</v>
      </c>
    </row>
    <row r="747" spans="1:3" x14ac:dyDescent="0.25">
      <c r="A747">
        <v>746</v>
      </c>
      <c r="B747" t="s">
        <v>790</v>
      </c>
      <c r="C747" s="24">
        <v>1</v>
      </c>
    </row>
    <row r="748" spans="1:3" x14ac:dyDescent="0.25">
      <c r="A748">
        <v>747</v>
      </c>
      <c r="B748" t="s">
        <v>791</v>
      </c>
      <c r="C748" s="24">
        <v>2</v>
      </c>
    </row>
    <row r="749" spans="1:3" x14ac:dyDescent="0.25">
      <c r="A749">
        <v>748</v>
      </c>
      <c r="B749" t="s">
        <v>792</v>
      </c>
      <c r="C749" s="24">
        <v>2</v>
      </c>
    </row>
    <row r="750" spans="1:3" x14ac:dyDescent="0.25">
      <c r="A750">
        <v>749</v>
      </c>
      <c r="B750" t="s">
        <v>793</v>
      </c>
      <c r="C750" s="24">
        <v>5</v>
      </c>
    </row>
    <row r="751" spans="1:3" x14ac:dyDescent="0.25">
      <c r="A751">
        <v>750</v>
      </c>
      <c r="B751" t="s">
        <v>794</v>
      </c>
      <c r="C751" s="24">
        <v>3</v>
      </c>
    </row>
    <row r="752" spans="1:3" x14ac:dyDescent="0.25">
      <c r="A752">
        <v>751</v>
      </c>
      <c r="B752" t="s">
        <v>795</v>
      </c>
      <c r="C752" s="24">
        <v>1</v>
      </c>
    </row>
    <row r="753" spans="1:3" x14ac:dyDescent="0.25">
      <c r="A753">
        <v>752</v>
      </c>
      <c r="B753" t="s">
        <v>796</v>
      </c>
      <c r="C753" s="24">
        <v>1</v>
      </c>
    </row>
    <row r="754" spans="1:3" x14ac:dyDescent="0.25">
      <c r="A754">
        <v>753</v>
      </c>
      <c r="B754" t="s">
        <v>797</v>
      </c>
      <c r="C754" s="24">
        <v>2</v>
      </c>
    </row>
    <row r="755" spans="1:3" x14ac:dyDescent="0.25">
      <c r="A755">
        <v>754</v>
      </c>
      <c r="B755" t="s">
        <v>798</v>
      </c>
      <c r="C755" s="24">
        <v>2</v>
      </c>
    </row>
    <row r="756" spans="1:3" x14ac:dyDescent="0.25">
      <c r="A756">
        <v>755</v>
      </c>
      <c r="B756" t="s">
        <v>799</v>
      </c>
      <c r="C756" s="24">
        <v>1</v>
      </c>
    </row>
    <row r="757" spans="1:3" x14ac:dyDescent="0.25">
      <c r="A757">
        <v>756</v>
      </c>
      <c r="B757" t="s">
        <v>800</v>
      </c>
      <c r="C757" s="24">
        <v>1</v>
      </c>
    </row>
    <row r="758" spans="1:3" x14ac:dyDescent="0.25">
      <c r="A758">
        <v>757</v>
      </c>
      <c r="B758" t="s">
        <v>801</v>
      </c>
      <c r="C758" s="24">
        <v>2</v>
      </c>
    </row>
    <row r="759" spans="1:3" x14ac:dyDescent="0.25">
      <c r="A759">
        <v>758</v>
      </c>
      <c r="B759" t="s">
        <v>802</v>
      </c>
      <c r="C759" s="24">
        <v>5</v>
      </c>
    </row>
    <row r="760" spans="1:3" x14ac:dyDescent="0.25">
      <c r="A760">
        <v>759</v>
      </c>
      <c r="B760" t="s">
        <v>803</v>
      </c>
      <c r="C760" s="24">
        <v>1</v>
      </c>
    </row>
    <row r="761" spans="1:3" x14ac:dyDescent="0.25">
      <c r="A761">
        <v>760</v>
      </c>
      <c r="B761" t="s">
        <v>804</v>
      </c>
      <c r="C761" s="24">
        <v>4</v>
      </c>
    </row>
    <row r="762" spans="1:3" x14ac:dyDescent="0.25">
      <c r="A762">
        <v>761</v>
      </c>
      <c r="B762" t="s">
        <v>805</v>
      </c>
      <c r="C762" s="24">
        <v>2</v>
      </c>
    </row>
    <row r="763" spans="1:3" x14ac:dyDescent="0.25">
      <c r="A763">
        <v>762</v>
      </c>
      <c r="B763" t="s">
        <v>806</v>
      </c>
      <c r="C763" s="24">
        <v>1</v>
      </c>
    </row>
    <row r="764" spans="1:3" x14ac:dyDescent="0.25">
      <c r="A764">
        <v>763</v>
      </c>
      <c r="B764" t="s">
        <v>807</v>
      </c>
      <c r="C764" s="24">
        <v>1</v>
      </c>
    </row>
    <row r="765" spans="1:3" x14ac:dyDescent="0.25">
      <c r="A765">
        <v>764</v>
      </c>
      <c r="B765" t="s">
        <v>808</v>
      </c>
      <c r="C765" s="24">
        <v>1</v>
      </c>
    </row>
    <row r="766" spans="1:3" x14ac:dyDescent="0.25">
      <c r="A766">
        <v>765</v>
      </c>
      <c r="B766" t="s">
        <v>809</v>
      </c>
      <c r="C766" s="24">
        <v>1</v>
      </c>
    </row>
    <row r="767" spans="1:3" x14ac:dyDescent="0.25">
      <c r="A767">
        <v>766</v>
      </c>
      <c r="B767" t="s">
        <v>810</v>
      </c>
      <c r="C767" s="24">
        <v>1</v>
      </c>
    </row>
    <row r="768" spans="1:3" x14ac:dyDescent="0.25">
      <c r="A768">
        <v>767</v>
      </c>
      <c r="B768" t="s">
        <v>811</v>
      </c>
      <c r="C768" s="24">
        <v>1</v>
      </c>
    </row>
    <row r="769" spans="1:3" x14ac:dyDescent="0.25">
      <c r="A769">
        <v>768</v>
      </c>
      <c r="B769" t="s">
        <v>812</v>
      </c>
      <c r="C769" s="24">
        <v>1</v>
      </c>
    </row>
    <row r="770" spans="1:3" x14ac:dyDescent="0.25">
      <c r="A770">
        <v>769</v>
      </c>
      <c r="B770" t="s">
        <v>813</v>
      </c>
      <c r="C770" s="24">
        <v>1</v>
      </c>
    </row>
    <row r="771" spans="1:3" x14ac:dyDescent="0.25">
      <c r="A771">
        <v>770</v>
      </c>
      <c r="B771" t="s">
        <v>814</v>
      </c>
      <c r="C771" s="24">
        <v>5</v>
      </c>
    </row>
    <row r="772" spans="1:3" x14ac:dyDescent="0.25">
      <c r="A772">
        <v>771</v>
      </c>
      <c r="B772" t="s">
        <v>815</v>
      </c>
      <c r="C772" s="24">
        <v>1</v>
      </c>
    </row>
    <row r="773" spans="1:3" x14ac:dyDescent="0.25">
      <c r="A773">
        <v>772</v>
      </c>
      <c r="B773" t="s">
        <v>816</v>
      </c>
      <c r="C773" s="24">
        <v>6</v>
      </c>
    </row>
    <row r="774" spans="1:3" x14ac:dyDescent="0.25">
      <c r="A774">
        <v>773</v>
      </c>
      <c r="B774" t="s">
        <v>817</v>
      </c>
      <c r="C774" s="24">
        <v>1</v>
      </c>
    </row>
    <row r="775" spans="1:3" x14ac:dyDescent="0.25">
      <c r="A775">
        <v>774</v>
      </c>
      <c r="B775" t="s">
        <v>818</v>
      </c>
      <c r="C775" s="24">
        <v>2</v>
      </c>
    </row>
    <row r="776" spans="1:3" x14ac:dyDescent="0.25">
      <c r="A776">
        <v>775</v>
      </c>
      <c r="B776" t="s">
        <v>819</v>
      </c>
      <c r="C776" s="24">
        <v>1</v>
      </c>
    </row>
    <row r="777" spans="1:3" x14ac:dyDescent="0.25">
      <c r="A777">
        <v>776</v>
      </c>
      <c r="B777" t="s">
        <v>820</v>
      </c>
      <c r="C777" s="24">
        <v>1</v>
      </c>
    </row>
    <row r="778" spans="1:3" x14ac:dyDescent="0.25">
      <c r="A778">
        <v>777</v>
      </c>
      <c r="B778" t="s">
        <v>821</v>
      </c>
      <c r="C778" s="24">
        <v>5</v>
      </c>
    </row>
    <row r="779" spans="1:3" x14ac:dyDescent="0.25">
      <c r="A779">
        <v>778</v>
      </c>
      <c r="B779" t="s">
        <v>822</v>
      </c>
      <c r="C779" s="24">
        <v>1</v>
      </c>
    </row>
    <row r="780" spans="1:3" x14ac:dyDescent="0.25">
      <c r="A780">
        <v>779</v>
      </c>
      <c r="B780" t="s">
        <v>823</v>
      </c>
      <c r="C780" s="24">
        <v>6</v>
      </c>
    </row>
    <row r="781" spans="1:3" x14ac:dyDescent="0.25">
      <c r="A781">
        <v>780</v>
      </c>
      <c r="B781" t="s">
        <v>824</v>
      </c>
      <c r="C781" s="24">
        <v>1</v>
      </c>
    </row>
    <row r="782" spans="1:3" x14ac:dyDescent="0.25">
      <c r="A782">
        <v>781</v>
      </c>
      <c r="B782" t="s">
        <v>825</v>
      </c>
      <c r="C782" s="24">
        <v>1</v>
      </c>
    </row>
    <row r="783" spans="1:3" x14ac:dyDescent="0.25">
      <c r="A783">
        <v>782</v>
      </c>
      <c r="B783" t="s">
        <v>826</v>
      </c>
      <c r="C783" s="24">
        <v>5</v>
      </c>
    </row>
    <row r="784" spans="1:3" x14ac:dyDescent="0.25">
      <c r="A784">
        <v>783</v>
      </c>
      <c r="B784" t="s">
        <v>827</v>
      </c>
      <c r="C784" s="24">
        <v>1</v>
      </c>
    </row>
    <row r="785" spans="1:3" x14ac:dyDescent="0.25">
      <c r="A785">
        <v>784</v>
      </c>
      <c r="B785" t="s">
        <v>828</v>
      </c>
      <c r="C785" s="24">
        <v>1</v>
      </c>
    </row>
    <row r="786" spans="1:3" x14ac:dyDescent="0.25">
      <c r="A786">
        <v>785</v>
      </c>
      <c r="B786" t="s">
        <v>829</v>
      </c>
      <c r="C786" s="24">
        <v>1</v>
      </c>
    </row>
    <row r="787" spans="1:3" x14ac:dyDescent="0.25">
      <c r="A787">
        <v>786</v>
      </c>
      <c r="B787" t="s">
        <v>830</v>
      </c>
      <c r="C787" s="24">
        <v>6</v>
      </c>
    </row>
    <row r="788" spans="1:3" x14ac:dyDescent="0.25">
      <c r="A788">
        <v>787</v>
      </c>
      <c r="B788" t="s">
        <v>831</v>
      </c>
      <c r="C788" s="24">
        <v>4</v>
      </c>
    </row>
    <row r="789" spans="1:3" x14ac:dyDescent="0.25">
      <c r="A789">
        <v>788</v>
      </c>
      <c r="B789" t="s">
        <v>832</v>
      </c>
      <c r="C789" s="24">
        <v>1</v>
      </c>
    </row>
    <row r="790" spans="1:3" x14ac:dyDescent="0.25">
      <c r="A790">
        <v>789</v>
      </c>
      <c r="B790" t="s">
        <v>833</v>
      </c>
      <c r="C790" s="24">
        <v>1</v>
      </c>
    </row>
    <row r="791" spans="1:3" x14ac:dyDescent="0.25">
      <c r="A791">
        <v>790</v>
      </c>
      <c r="B791" t="s">
        <v>834</v>
      </c>
      <c r="C791" s="24">
        <v>2</v>
      </c>
    </row>
    <row r="792" spans="1:3" x14ac:dyDescent="0.25">
      <c r="A792">
        <v>791</v>
      </c>
      <c r="B792" t="s">
        <v>835</v>
      </c>
      <c r="C792" s="24">
        <v>1</v>
      </c>
    </row>
    <row r="793" spans="1:3" x14ac:dyDescent="0.25">
      <c r="A793">
        <v>792</v>
      </c>
      <c r="B793" t="s">
        <v>836</v>
      </c>
      <c r="C793" s="24">
        <v>2</v>
      </c>
    </row>
    <row r="794" spans="1:3" x14ac:dyDescent="0.25">
      <c r="A794">
        <v>793</v>
      </c>
      <c r="B794" t="s">
        <v>837</v>
      </c>
      <c r="C794" s="24">
        <v>1</v>
      </c>
    </row>
    <row r="795" spans="1:3" x14ac:dyDescent="0.25">
      <c r="A795">
        <v>794</v>
      </c>
      <c r="B795" t="s">
        <v>838</v>
      </c>
      <c r="C795" s="24">
        <v>1</v>
      </c>
    </row>
    <row r="796" spans="1:3" x14ac:dyDescent="0.25">
      <c r="A796">
        <v>795</v>
      </c>
      <c r="B796" t="s">
        <v>839</v>
      </c>
      <c r="C796" s="24">
        <v>1</v>
      </c>
    </row>
    <row r="797" spans="1:3" x14ac:dyDescent="0.25">
      <c r="A797">
        <v>796</v>
      </c>
      <c r="B797" t="s">
        <v>840</v>
      </c>
      <c r="C797" s="24">
        <v>1</v>
      </c>
    </row>
    <row r="798" spans="1:3" x14ac:dyDescent="0.25">
      <c r="A798">
        <v>797</v>
      </c>
      <c r="B798" t="s">
        <v>841</v>
      </c>
      <c r="C798" s="24">
        <v>1</v>
      </c>
    </row>
    <row r="799" spans="1:3" x14ac:dyDescent="0.25">
      <c r="A799">
        <v>798</v>
      </c>
      <c r="B799" t="s">
        <v>842</v>
      </c>
      <c r="C799" s="24">
        <v>1</v>
      </c>
    </row>
    <row r="800" spans="1:3" x14ac:dyDescent="0.25">
      <c r="A800">
        <v>799</v>
      </c>
      <c r="B800" t="s">
        <v>843</v>
      </c>
      <c r="C800" s="24">
        <v>1</v>
      </c>
    </row>
    <row r="801" spans="1:3" x14ac:dyDescent="0.25">
      <c r="A801">
        <v>800</v>
      </c>
      <c r="B801" t="s">
        <v>844</v>
      </c>
      <c r="C801" s="24">
        <v>6</v>
      </c>
    </row>
    <row r="802" spans="1:3" x14ac:dyDescent="0.25">
      <c r="A802">
        <v>801</v>
      </c>
      <c r="B802" t="s">
        <v>845</v>
      </c>
      <c r="C802" s="24">
        <v>1</v>
      </c>
    </row>
    <row r="803" spans="1:3" x14ac:dyDescent="0.25">
      <c r="A803">
        <v>802</v>
      </c>
      <c r="B803" t="s">
        <v>846</v>
      </c>
      <c r="C803" s="24">
        <v>1</v>
      </c>
    </row>
    <row r="804" spans="1:3" x14ac:dyDescent="0.25">
      <c r="A804">
        <v>803</v>
      </c>
      <c r="B804" t="s">
        <v>847</v>
      </c>
      <c r="C804" s="24">
        <v>1</v>
      </c>
    </row>
    <row r="805" spans="1:3" x14ac:dyDescent="0.25">
      <c r="A805">
        <v>804</v>
      </c>
      <c r="B805" t="s">
        <v>848</v>
      </c>
      <c r="C805" s="24">
        <v>1</v>
      </c>
    </row>
    <row r="806" spans="1:3" x14ac:dyDescent="0.25">
      <c r="A806">
        <v>805</v>
      </c>
      <c r="B806" t="s">
        <v>849</v>
      </c>
      <c r="C806" s="24">
        <v>4</v>
      </c>
    </row>
    <row r="807" spans="1:3" x14ac:dyDescent="0.25">
      <c r="A807">
        <v>806</v>
      </c>
      <c r="B807" t="s">
        <v>850</v>
      </c>
      <c r="C807" s="24">
        <v>1</v>
      </c>
    </row>
    <row r="808" spans="1:3" x14ac:dyDescent="0.25">
      <c r="A808">
        <v>807</v>
      </c>
      <c r="B808" t="s">
        <v>851</v>
      </c>
      <c r="C808" s="24">
        <v>4</v>
      </c>
    </row>
    <row r="809" spans="1:3" x14ac:dyDescent="0.25">
      <c r="A809">
        <v>808</v>
      </c>
      <c r="B809" t="s">
        <v>852</v>
      </c>
      <c r="C809" s="24">
        <v>1</v>
      </c>
    </row>
    <row r="810" spans="1:3" x14ac:dyDescent="0.25">
      <c r="A810">
        <v>809</v>
      </c>
      <c r="B810" t="s">
        <v>853</v>
      </c>
      <c r="C810" s="24">
        <v>1</v>
      </c>
    </row>
    <row r="811" spans="1:3" x14ac:dyDescent="0.25">
      <c r="A811">
        <v>810</v>
      </c>
      <c r="B811" t="s">
        <v>854</v>
      </c>
      <c r="C811" s="24">
        <v>4</v>
      </c>
    </row>
    <row r="812" spans="1:3" x14ac:dyDescent="0.25">
      <c r="A812">
        <v>811</v>
      </c>
      <c r="B812" t="s">
        <v>855</v>
      </c>
      <c r="C812" s="24">
        <v>2</v>
      </c>
    </row>
    <row r="813" spans="1:3" x14ac:dyDescent="0.25">
      <c r="A813">
        <v>812</v>
      </c>
      <c r="B813" t="s">
        <v>856</v>
      </c>
      <c r="C813" s="24">
        <v>4</v>
      </c>
    </row>
    <row r="814" spans="1:3" x14ac:dyDescent="0.25">
      <c r="A814">
        <v>813</v>
      </c>
      <c r="B814" t="s">
        <v>857</v>
      </c>
      <c r="C814" s="24">
        <v>1</v>
      </c>
    </row>
    <row r="815" spans="1:3" x14ac:dyDescent="0.25">
      <c r="A815">
        <v>814</v>
      </c>
      <c r="B815" t="s">
        <v>858</v>
      </c>
      <c r="C815" s="24">
        <v>1</v>
      </c>
    </row>
    <row r="816" spans="1:3" x14ac:dyDescent="0.25">
      <c r="A816">
        <v>815</v>
      </c>
      <c r="B816" t="s">
        <v>859</v>
      </c>
      <c r="C816" s="24">
        <v>6</v>
      </c>
    </row>
    <row r="817" spans="1:3" x14ac:dyDescent="0.25">
      <c r="A817">
        <v>816</v>
      </c>
      <c r="B817" t="s">
        <v>860</v>
      </c>
      <c r="C817" s="24">
        <v>1</v>
      </c>
    </row>
    <row r="818" spans="1:3" x14ac:dyDescent="0.25">
      <c r="A818">
        <v>817</v>
      </c>
      <c r="B818" t="s">
        <v>861</v>
      </c>
      <c r="C818" s="24">
        <v>1</v>
      </c>
    </row>
    <row r="819" spans="1:3" x14ac:dyDescent="0.25">
      <c r="A819">
        <v>818</v>
      </c>
      <c r="B819" t="s">
        <v>862</v>
      </c>
      <c r="C819" s="24">
        <v>1</v>
      </c>
    </row>
    <row r="820" spans="1:3" x14ac:dyDescent="0.25">
      <c r="A820">
        <v>819</v>
      </c>
      <c r="B820" t="s">
        <v>863</v>
      </c>
      <c r="C820" s="24">
        <v>1</v>
      </c>
    </row>
    <row r="821" spans="1:3" x14ac:dyDescent="0.25">
      <c r="A821">
        <v>820</v>
      </c>
      <c r="B821" t="s">
        <v>864</v>
      </c>
      <c r="C821" s="24">
        <v>5</v>
      </c>
    </row>
    <row r="822" spans="1:3" x14ac:dyDescent="0.25">
      <c r="A822">
        <v>821</v>
      </c>
      <c r="B822" t="s">
        <v>865</v>
      </c>
      <c r="C822" s="24">
        <v>1</v>
      </c>
    </row>
    <row r="823" spans="1:3" x14ac:dyDescent="0.25">
      <c r="A823">
        <v>822</v>
      </c>
      <c r="B823" t="s">
        <v>866</v>
      </c>
      <c r="C823" s="24">
        <v>1</v>
      </c>
    </row>
    <row r="824" spans="1:3" x14ac:dyDescent="0.25">
      <c r="A824">
        <v>823</v>
      </c>
      <c r="B824" t="s">
        <v>867</v>
      </c>
      <c r="C824" s="24">
        <v>2</v>
      </c>
    </row>
    <row r="825" spans="1:3" x14ac:dyDescent="0.25">
      <c r="A825">
        <v>824</v>
      </c>
      <c r="B825" t="s">
        <v>868</v>
      </c>
      <c r="C825" s="24">
        <v>5</v>
      </c>
    </row>
    <row r="826" spans="1:3" x14ac:dyDescent="0.25">
      <c r="A826">
        <v>825</v>
      </c>
      <c r="B826" t="s">
        <v>869</v>
      </c>
      <c r="C826" s="24">
        <v>1</v>
      </c>
    </row>
    <row r="827" spans="1:3" x14ac:dyDescent="0.25">
      <c r="A827">
        <v>826</v>
      </c>
      <c r="B827" t="s">
        <v>870</v>
      </c>
      <c r="C827" s="24">
        <v>1</v>
      </c>
    </row>
    <row r="828" spans="1:3" x14ac:dyDescent="0.25">
      <c r="A828">
        <v>827</v>
      </c>
      <c r="B828" t="s">
        <v>871</v>
      </c>
      <c r="C828" s="24">
        <v>6</v>
      </c>
    </row>
    <row r="829" spans="1:3" x14ac:dyDescent="0.25">
      <c r="A829">
        <v>828</v>
      </c>
      <c r="B829" t="s">
        <v>872</v>
      </c>
      <c r="C829" s="24">
        <v>2</v>
      </c>
    </row>
    <row r="830" spans="1:3" x14ac:dyDescent="0.25">
      <c r="A830">
        <v>829</v>
      </c>
      <c r="B830" t="s">
        <v>873</v>
      </c>
      <c r="C830" s="24">
        <v>1</v>
      </c>
    </row>
    <row r="831" spans="1:3" x14ac:dyDescent="0.25">
      <c r="A831">
        <v>830</v>
      </c>
      <c r="B831" t="s">
        <v>874</v>
      </c>
      <c r="C831" s="24">
        <v>1</v>
      </c>
    </row>
    <row r="832" spans="1:3" x14ac:dyDescent="0.25">
      <c r="A832">
        <v>831</v>
      </c>
      <c r="B832" t="s">
        <v>875</v>
      </c>
      <c r="C832" s="24">
        <v>1</v>
      </c>
    </row>
    <row r="833" spans="1:3" x14ac:dyDescent="0.25">
      <c r="A833">
        <v>832</v>
      </c>
      <c r="B833" t="s">
        <v>876</v>
      </c>
      <c r="C833" s="24">
        <v>1</v>
      </c>
    </row>
    <row r="834" spans="1:3" x14ac:dyDescent="0.25">
      <c r="A834">
        <v>833</v>
      </c>
      <c r="B834" t="s">
        <v>877</v>
      </c>
      <c r="C834" s="24">
        <v>1</v>
      </c>
    </row>
    <row r="835" spans="1:3" x14ac:dyDescent="0.25">
      <c r="A835">
        <v>834</v>
      </c>
      <c r="B835" t="s">
        <v>878</v>
      </c>
      <c r="C835" s="24">
        <v>1</v>
      </c>
    </row>
    <row r="836" spans="1:3" x14ac:dyDescent="0.25">
      <c r="A836">
        <v>835</v>
      </c>
      <c r="B836" t="s">
        <v>879</v>
      </c>
      <c r="C836" s="24">
        <v>1</v>
      </c>
    </row>
    <row r="837" spans="1:3" x14ac:dyDescent="0.25">
      <c r="A837">
        <v>836</v>
      </c>
      <c r="B837" t="s">
        <v>880</v>
      </c>
      <c r="C837" s="24">
        <v>1</v>
      </c>
    </row>
    <row r="838" spans="1:3" x14ac:dyDescent="0.25">
      <c r="A838">
        <v>837</v>
      </c>
      <c r="B838" t="s">
        <v>881</v>
      </c>
      <c r="C838" s="24">
        <v>1</v>
      </c>
    </row>
    <row r="839" spans="1:3" x14ac:dyDescent="0.25">
      <c r="A839">
        <v>838</v>
      </c>
      <c r="B839" t="s">
        <v>882</v>
      </c>
      <c r="C839" s="24">
        <v>1</v>
      </c>
    </row>
    <row r="840" spans="1:3" x14ac:dyDescent="0.25">
      <c r="A840">
        <v>839</v>
      </c>
      <c r="B840" t="s">
        <v>883</v>
      </c>
      <c r="C840" s="24">
        <v>1</v>
      </c>
    </row>
    <row r="841" spans="1:3" x14ac:dyDescent="0.25">
      <c r="A841">
        <v>840</v>
      </c>
      <c r="B841" t="s">
        <v>884</v>
      </c>
      <c r="C841" s="24">
        <v>1</v>
      </c>
    </row>
    <row r="842" spans="1:3" x14ac:dyDescent="0.25">
      <c r="A842">
        <v>841</v>
      </c>
      <c r="B842" t="s">
        <v>885</v>
      </c>
      <c r="C842" s="24">
        <v>1</v>
      </c>
    </row>
    <row r="843" spans="1:3" x14ac:dyDescent="0.25">
      <c r="A843">
        <v>842</v>
      </c>
      <c r="B843" t="s">
        <v>886</v>
      </c>
      <c r="C843" s="24">
        <v>1</v>
      </c>
    </row>
    <row r="844" spans="1:3" x14ac:dyDescent="0.25">
      <c r="A844">
        <v>843</v>
      </c>
      <c r="B844" t="s">
        <v>887</v>
      </c>
      <c r="C844" s="24">
        <v>1</v>
      </c>
    </row>
    <row r="845" spans="1:3" x14ac:dyDescent="0.25">
      <c r="A845">
        <v>844</v>
      </c>
      <c r="B845" t="s">
        <v>888</v>
      </c>
      <c r="C845" s="24">
        <v>1</v>
      </c>
    </row>
    <row r="846" spans="1:3" x14ac:dyDescent="0.25">
      <c r="A846">
        <v>845</v>
      </c>
      <c r="B846" t="s">
        <v>889</v>
      </c>
      <c r="C846" s="24">
        <v>5</v>
      </c>
    </row>
    <row r="847" spans="1:3" x14ac:dyDescent="0.25">
      <c r="A847">
        <v>846</v>
      </c>
      <c r="B847" t="s">
        <v>890</v>
      </c>
      <c r="C847" s="24">
        <v>4</v>
      </c>
    </row>
    <row r="848" spans="1:3" x14ac:dyDescent="0.25">
      <c r="A848">
        <v>847</v>
      </c>
      <c r="B848" t="s">
        <v>891</v>
      </c>
      <c r="C848" s="24">
        <v>6</v>
      </c>
    </row>
    <row r="849" spans="1:3" x14ac:dyDescent="0.25">
      <c r="A849">
        <v>848</v>
      </c>
      <c r="B849" t="s">
        <v>892</v>
      </c>
      <c r="C849" s="24">
        <v>2</v>
      </c>
    </row>
    <row r="850" spans="1:3" x14ac:dyDescent="0.25">
      <c r="A850">
        <v>849</v>
      </c>
      <c r="B850" t="s">
        <v>893</v>
      </c>
      <c r="C850" s="24">
        <v>6</v>
      </c>
    </row>
    <row r="851" spans="1:3" x14ac:dyDescent="0.25">
      <c r="A851">
        <v>850</v>
      </c>
      <c r="B851" t="s">
        <v>894</v>
      </c>
      <c r="C851" s="24">
        <v>2</v>
      </c>
    </row>
    <row r="852" spans="1:3" x14ac:dyDescent="0.25">
      <c r="A852">
        <v>851</v>
      </c>
      <c r="B852" t="s">
        <v>895</v>
      </c>
      <c r="C852" s="24">
        <v>1</v>
      </c>
    </row>
    <row r="853" spans="1:3" x14ac:dyDescent="0.25">
      <c r="A853">
        <v>852</v>
      </c>
      <c r="B853" t="s">
        <v>896</v>
      </c>
      <c r="C853" s="24">
        <v>5</v>
      </c>
    </row>
    <row r="854" spans="1:3" x14ac:dyDescent="0.25">
      <c r="A854">
        <v>853</v>
      </c>
      <c r="B854" t="s">
        <v>897</v>
      </c>
      <c r="C854" s="24">
        <v>1</v>
      </c>
    </row>
    <row r="855" spans="1:3" x14ac:dyDescent="0.25">
      <c r="A855">
        <v>854</v>
      </c>
      <c r="B855" t="s">
        <v>898</v>
      </c>
      <c r="C855" s="24">
        <v>5</v>
      </c>
    </row>
    <row r="856" spans="1:3" x14ac:dyDescent="0.25">
      <c r="A856">
        <v>855</v>
      </c>
      <c r="B856" t="s">
        <v>899</v>
      </c>
      <c r="C856" s="24">
        <v>1</v>
      </c>
    </row>
    <row r="857" spans="1:3" x14ac:dyDescent="0.25">
      <c r="A857">
        <v>856</v>
      </c>
      <c r="B857" t="s">
        <v>900</v>
      </c>
      <c r="C857" s="24">
        <v>1</v>
      </c>
    </row>
    <row r="858" spans="1:3" x14ac:dyDescent="0.25">
      <c r="A858">
        <v>857</v>
      </c>
      <c r="B858" t="s">
        <v>901</v>
      </c>
      <c r="C858" s="24">
        <v>1</v>
      </c>
    </row>
    <row r="859" spans="1:3" x14ac:dyDescent="0.25">
      <c r="A859">
        <v>858</v>
      </c>
      <c r="B859" t="s">
        <v>902</v>
      </c>
      <c r="C859" s="24">
        <v>1</v>
      </c>
    </row>
    <row r="860" spans="1:3" x14ac:dyDescent="0.25">
      <c r="A860">
        <v>859</v>
      </c>
      <c r="B860" t="s">
        <v>903</v>
      </c>
      <c r="C860" s="24">
        <v>1</v>
      </c>
    </row>
    <row r="861" spans="1:3" x14ac:dyDescent="0.25">
      <c r="A861">
        <v>860</v>
      </c>
      <c r="B861" t="s">
        <v>904</v>
      </c>
      <c r="C861" s="24">
        <v>1</v>
      </c>
    </row>
    <row r="862" spans="1:3" x14ac:dyDescent="0.25">
      <c r="A862">
        <v>861</v>
      </c>
      <c r="B862" t="s">
        <v>905</v>
      </c>
      <c r="C862" s="24">
        <v>2</v>
      </c>
    </row>
    <row r="863" spans="1:3" x14ac:dyDescent="0.25">
      <c r="A863">
        <v>862</v>
      </c>
      <c r="B863" t="s">
        <v>906</v>
      </c>
      <c r="C863" s="24">
        <v>1</v>
      </c>
    </row>
    <row r="864" spans="1:3" x14ac:dyDescent="0.25">
      <c r="A864">
        <v>863</v>
      </c>
      <c r="B864" t="s">
        <v>907</v>
      </c>
      <c r="C864" s="24">
        <v>1</v>
      </c>
    </row>
    <row r="865" spans="1:3" x14ac:dyDescent="0.25">
      <c r="A865">
        <v>864</v>
      </c>
      <c r="B865" t="s">
        <v>908</v>
      </c>
      <c r="C865" s="24">
        <v>4</v>
      </c>
    </row>
    <row r="866" spans="1:3" x14ac:dyDescent="0.25">
      <c r="A866">
        <v>865</v>
      </c>
      <c r="B866" t="s">
        <v>909</v>
      </c>
      <c r="C866" s="24">
        <v>1</v>
      </c>
    </row>
    <row r="867" spans="1:3" x14ac:dyDescent="0.25">
      <c r="A867">
        <v>866</v>
      </c>
      <c r="B867" t="s">
        <v>910</v>
      </c>
      <c r="C867" s="24">
        <v>1</v>
      </c>
    </row>
    <row r="868" spans="1:3" x14ac:dyDescent="0.25">
      <c r="A868">
        <v>867</v>
      </c>
      <c r="B868" t="s">
        <v>911</v>
      </c>
      <c r="C868" s="24">
        <v>1</v>
      </c>
    </row>
    <row r="869" spans="1:3" x14ac:dyDescent="0.25">
      <c r="A869">
        <v>868</v>
      </c>
      <c r="B869" t="s">
        <v>912</v>
      </c>
      <c r="C869" s="24">
        <v>1</v>
      </c>
    </row>
    <row r="870" spans="1:3" x14ac:dyDescent="0.25">
      <c r="A870">
        <v>869</v>
      </c>
      <c r="B870" t="s">
        <v>913</v>
      </c>
      <c r="C870" s="24">
        <v>2</v>
      </c>
    </row>
    <row r="871" spans="1:3" x14ac:dyDescent="0.25">
      <c r="A871">
        <v>870</v>
      </c>
      <c r="B871" t="s">
        <v>914</v>
      </c>
      <c r="C871" s="24">
        <v>1</v>
      </c>
    </row>
    <row r="872" spans="1:3" x14ac:dyDescent="0.25">
      <c r="A872">
        <v>871</v>
      </c>
      <c r="B872" t="s">
        <v>915</v>
      </c>
      <c r="C872" s="24">
        <v>6</v>
      </c>
    </row>
    <row r="873" spans="1:3" x14ac:dyDescent="0.25">
      <c r="A873">
        <v>872</v>
      </c>
      <c r="B873" t="s">
        <v>916</v>
      </c>
      <c r="C873" s="24">
        <v>2</v>
      </c>
    </row>
    <row r="874" spans="1:3" x14ac:dyDescent="0.25">
      <c r="A874">
        <v>873</v>
      </c>
      <c r="B874" t="s">
        <v>917</v>
      </c>
      <c r="C874" s="24">
        <v>1</v>
      </c>
    </row>
    <row r="875" spans="1:3" x14ac:dyDescent="0.25">
      <c r="A875">
        <v>874</v>
      </c>
      <c r="B875" t="s">
        <v>918</v>
      </c>
      <c r="C875" s="24">
        <v>1</v>
      </c>
    </row>
    <row r="876" spans="1:3" x14ac:dyDescent="0.25">
      <c r="A876">
        <v>875</v>
      </c>
      <c r="B876" t="s">
        <v>919</v>
      </c>
      <c r="C876" s="24">
        <v>2</v>
      </c>
    </row>
    <row r="877" spans="1:3" x14ac:dyDescent="0.25">
      <c r="A877">
        <v>876</v>
      </c>
      <c r="B877" t="s">
        <v>920</v>
      </c>
      <c r="C877" s="24">
        <v>2</v>
      </c>
    </row>
    <row r="878" spans="1:3" x14ac:dyDescent="0.25">
      <c r="A878">
        <v>877</v>
      </c>
      <c r="B878" t="s">
        <v>921</v>
      </c>
      <c r="C878" s="24">
        <v>1</v>
      </c>
    </row>
    <row r="879" spans="1:3" x14ac:dyDescent="0.25">
      <c r="A879">
        <v>878</v>
      </c>
      <c r="B879" t="s">
        <v>922</v>
      </c>
      <c r="C879" s="24">
        <v>1</v>
      </c>
    </row>
    <row r="880" spans="1:3" x14ac:dyDescent="0.25">
      <c r="A880">
        <v>879</v>
      </c>
      <c r="B880" t="s">
        <v>923</v>
      </c>
      <c r="C880" s="24">
        <v>3</v>
      </c>
    </row>
    <row r="881" spans="1:3" x14ac:dyDescent="0.25">
      <c r="A881">
        <v>880</v>
      </c>
      <c r="B881" t="s">
        <v>924</v>
      </c>
      <c r="C881" s="24">
        <v>1</v>
      </c>
    </row>
    <row r="882" spans="1:3" x14ac:dyDescent="0.25">
      <c r="A882">
        <v>881</v>
      </c>
      <c r="B882" t="s">
        <v>925</v>
      </c>
      <c r="C882" s="24">
        <v>1</v>
      </c>
    </row>
    <row r="883" spans="1:3" x14ac:dyDescent="0.25">
      <c r="A883">
        <v>882</v>
      </c>
      <c r="B883" t="s">
        <v>926</v>
      </c>
      <c r="C883" s="24">
        <v>1</v>
      </c>
    </row>
    <row r="884" spans="1:3" x14ac:dyDescent="0.25">
      <c r="A884">
        <v>883</v>
      </c>
      <c r="B884" t="s">
        <v>927</v>
      </c>
      <c r="C884" s="24">
        <v>1</v>
      </c>
    </row>
    <row r="885" spans="1:3" x14ac:dyDescent="0.25">
      <c r="A885">
        <v>884</v>
      </c>
      <c r="B885" t="s">
        <v>928</v>
      </c>
      <c r="C885" s="24">
        <v>4</v>
      </c>
    </row>
    <row r="886" spans="1:3" x14ac:dyDescent="0.25">
      <c r="A886">
        <v>885</v>
      </c>
      <c r="B886" t="s">
        <v>929</v>
      </c>
      <c r="C886" s="24">
        <v>1</v>
      </c>
    </row>
    <row r="887" spans="1:3" x14ac:dyDescent="0.25">
      <c r="A887">
        <v>886</v>
      </c>
      <c r="B887" t="s">
        <v>930</v>
      </c>
      <c r="C887" s="24">
        <v>1</v>
      </c>
    </row>
    <row r="888" spans="1:3" x14ac:dyDescent="0.25">
      <c r="A888">
        <v>887</v>
      </c>
      <c r="B888" t="s">
        <v>931</v>
      </c>
      <c r="C888" s="24">
        <v>1</v>
      </c>
    </row>
    <row r="889" spans="1:3" x14ac:dyDescent="0.25">
      <c r="A889">
        <v>888</v>
      </c>
      <c r="B889" t="s">
        <v>932</v>
      </c>
      <c r="C889" s="24">
        <v>1</v>
      </c>
    </row>
    <row r="890" spans="1:3" x14ac:dyDescent="0.25">
      <c r="A890">
        <v>889</v>
      </c>
      <c r="B890" t="s">
        <v>933</v>
      </c>
      <c r="C890" s="24">
        <v>1</v>
      </c>
    </row>
    <row r="891" spans="1:3" x14ac:dyDescent="0.25">
      <c r="A891">
        <v>890</v>
      </c>
      <c r="B891" t="s">
        <v>934</v>
      </c>
      <c r="C891" s="24">
        <v>1</v>
      </c>
    </row>
    <row r="892" spans="1:3" x14ac:dyDescent="0.25">
      <c r="A892">
        <v>891</v>
      </c>
      <c r="B892" t="s">
        <v>935</v>
      </c>
      <c r="C892" s="24">
        <v>1</v>
      </c>
    </row>
    <row r="893" spans="1:3" x14ac:dyDescent="0.25">
      <c r="A893">
        <v>892</v>
      </c>
      <c r="B893" t="s">
        <v>936</v>
      </c>
      <c r="C893" s="24">
        <v>5</v>
      </c>
    </row>
    <row r="894" spans="1:3" x14ac:dyDescent="0.25">
      <c r="A894">
        <v>893</v>
      </c>
      <c r="B894" t="s">
        <v>937</v>
      </c>
      <c r="C894" s="24">
        <v>1</v>
      </c>
    </row>
    <row r="895" spans="1:3" x14ac:dyDescent="0.25">
      <c r="A895">
        <v>894</v>
      </c>
      <c r="B895" t="s">
        <v>938</v>
      </c>
      <c r="C895" s="24">
        <v>1</v>
      </c>
    </row>
    <row r="896" spans="1:3" x14ac:dyDescent="0.25">
      <c r="A896">
        <v>895</v>
      </c>
      <c r="B896" t="s">
        <v>939</v>
      </c>
      <c r="C896" s="24">
        <v>1</v>
      </c>
    </row>
    <row r="897" spans="1:3" x14ac:dyDescent="0.25">
      <c r="A897">
        <v>896</v>
      </c>
      <c r="B897" t="s">
        <v>940</v>
      </c>
      <c r="C897" s="24">
        <v>1</v>
      </c>
    </row>
    <row r="898" spans="1:3" x14ac:dyDescent="0.25">
      <c r="A898">
        <v>897</v>
      </c>
      <c r="B898" t="s">
        <v>941</v>
      </c>
      <c r="C898" s="24">
        <v>1</v>
      </c>
    </row>
    <row r="899" spans="1:3" x14ac:dyDescent="0.25">
      <c r="A899">
        <v>898</v>
      </c>
      <c r="B899" t="s">
        <v>942</v>
      </c>
      <c r="C899" s="24">
        <v>3</v>
      </c>
    </row>
    <row r="900" spans="1:3" x14ac:dyDescent="0.25">
      <c r="A900">
        <v>899</v>
      </c>
      <c r="B900" t="s">
        <v>943</v>
      </c>
      <c r="C900" s="24">
        <v>1</v>
      </c>
    </row>
    <row r="901" spans="1:3" x14ac:dyDescent="0.25">
      <c r="A901">
        <v>900</v>
      </c>
      <c r="B901" t="s">
        <v>944</v>
      </c>
      <c r="C901" s="24">
        <v>6</v>
      </c>
    </row>
    <row r="902" spans="1:3" x14ac:dyDescent="0.25">
      <c r="A902">
        <v>901</v>
      </c>
      <c r="B902" t="s">
        <v>945</v>
      </c>
      <c r="C902" s="24">
        <v>3</v>
      </c>
    </row>
    <row r="903" spans="1:3" x14ac:dyDescent="0.25">
      <c r="A903">
        <v>902</v>
      </c>
      <c r="B903" t="s">
        <v>946</v>
      </c>
      <c r="C903" s="24">
        <v>1</v>
      </c>
    </row>
    <row r="904" spans="1:3" x14ac:dyDescent="0.25">
      <c r="A904">
        <v>903</v>
      </c>
      <c r="B904" t="s">
        <v>947</v>
      </c>
      <c r="C904" s="24">
        <v>1</v>
      </c>
    </row>
    <row r="905" spans="1:3" x14ac:dyDescent="0.25">
      <c r="A905">
        <v>904</v>
      </c>
      <c r="B905" t="s">
        <v>948</v>
      </c>
      <c r="C905" s="24">
        <v>1</v>
      </c>
    </row>
    <row r="906" spans="1:3" x14ac:dyDescent="0.25">
      <c r="A906">
        <v>905</v>
      </c>
      <c r="B906" t="s">
        <v>949</v>
      </c>
      <c r="C906" s="24">
        <v>1</v>
      </c>
    </row>
    <row r="907" spans="1:3" x14ac:dyDescent="0.25">
      <c r="A907">
        <v>906</v>
      </c>
      <c r="B907" t="s">
        <v>950</v>
      </c>
      <c r="C907" s="24">
        <v>1</v>
      </c>
    </row>
    <row r="908" spans="1:3" x14ac:dyDescent="0.25">
      <c r="A908">
        <v>907</v>
      </c>
      <c r="B908" t="s">
        <v>951</v>
      </c>
      <c r="C908" s="24">
        <v>1</v>
      </c>
    </row>
    <row r="909" spans="1:3" x14ac:dyDescent="0.25">
      <c r="A909">
        <v>908</v>
      </c>
      <c r="B909" t="s">
        <v>952</v>
      </c>
      <c r="C909" s="24">
        <v>1</v>
      </c>
    </row>
    <row r="910" spans="1:3" x14ac:dyDescent="0.25">
      <c r="A910">
        <v>909</v>
      </c>
      <c r="B910" t="s">
        <v>953</v>
      </c>
      <c r="C910" s="24">
        <v>1</v>
      </c>
    </row>
    <row r="911" spans="1:3" x14ac:dyDescent="0.25">
      <c r="A911">
        <v>910</v>
      </c>
      <c r="B911" t="s">
        <v>954</v>
      </c>
      <c r="C911" s="24">
        <v>2</v>
      </c>
    </row>
    <row r="912" spans="1:3" x14ac:dyDescent="0.25">
      <c r="A912">
        <v>911</v>
      </c>
      <c r="B912" t="s">
        <v>955</v>
      </c>
      <c r="C912" s="24">
        <v>1</v>
      </c>
    </row>
    <row r="913" spans="1:3" x14ac:dyDescent="0.25">
      <c r="A913">
        <v>912</v>
      </c>
      <c r="B913" t="s">
        <v>956</v>
      </c>
      <c r="C913" s="24">
        <v>2</v>
      </c>
    </row>
    <row r="914" spans="1:3" x14ac:dyDescent="0.25">
      <c r="A914">
        <v>913</v>
      </c>
      <c r="B914" t="s">
        <v>957</v>
      </c>
      <c r="C914" s="24">
        <v>1</v>
      </c>
    </row>
    <row r="915" spans="1:3" x14ac:dyDescent="0.25">
      <c r="A915">
        <v>914</v>
      </c>
      <c r="B915" t="s">
        <v>958</v>
      </c>
      <c r="C915" s="24">
        <v>5</v>
      </c>
    </row>
    <row r="916" spans="1:3" x14ac:dyDescent="0.25">
      <c r="A916">
        <v>915</v>
      </c>
      <c r="B916" t="s">
        <v>959</v>
      </c>
      <c r="C916" s="24">
        <v>5</v>
      </c>
    </row>
    <row r="917" spans="1:3" x14ac:dyDescent="0.25">
      <c r="A917">
        <v>916</v>
      </c>
      <c r="B917" t="s">
        <v>960</v>
      </c>
      <c r="C917" s="24">
        <v>1</v>
      </c>
    </row>
    <row r="918" spans="1:3" x14ac:dyDescent="0.25">
      <c r="A918">
        <v>917</v>
      </c>
      <c r="B918" t="s">
        <v>961</v>
      </c>
      <c r="C918" s="24">
        <v>4</v>
      </c>
    </row>
    <row r="919" spans="1:3" x14ac:dyDescent="0.25">
      <c r="A919">
        <v>918</v>
      </c>
      <c r="B919" t="s">
        <v>962</v>
      </c>
      <c r="C919" s="24">
        <v>1</v>
      </c>
    </row>
    <row r="920" spans="1:3" x14ac:dyDescent="0.25">
      <c r="A920">
        <v>919</v>
      </c>
      <c r="B920" t="s">
        <v>963</v>
      </c>
      <c r="C920" s="24">
        <v>6</v>
      </c>
    </row>
    <row r="921" spans="1:3" x14ac:dyDescent="0.25">
      <c r="A921">
        <v>920</v>
      </c>
      <c r="B921" t="s">
        <v>964</v>
      </c>
      <c r="C921" s="24">
        <v>1</v>
      </c>
    </row>
    <row r="922" spans="1:3" x14ac:dyDescent="0.25">
      <c r="A922">
        <v>921</v>
      </c>
      <c r="B922" t="s">
        <v>965</v>
      </c>
      <c r="C922" s="24">
        <v>4</v>
      </c>
    </row>
    <row r="923" spans="1:3" x14ac:dyDescent="0.25">
      <c r="A923">
        <v>922</v>
      </c>
      <c r="B923" t="s">
        <v>966</v>
      </c>
      <c r="C923" s="24">
        <v>1</v>
      </c>
    </row>
    <row r="924" spans="1:3" x14ac:dyDescent="0.25">
      <c r="A924">
        <v>923</v>
      </c>
      <c r="B924" t="s">
        <v>967</v>
      </c>
      <c r="C924" s="24">
        <v>6</v>
      </c>
    </row>
    <row r="925" spans="1:3" x14ac:dyDescent="0.25">
      <c r="A925">
        <v>924</v>
      </c>
      <c r="B925" t="s">
        <v>968</v>
      </c>
      <c r="C925" s="24">
        <v>1</v>
      </c>
    </row>
    <row r="926" spans="1:3" x14ac:dyDescent="0.25">
      <c r="A926">
        <v>925</v>
      </c>
      <c r="B926" t="s">
        <v>969</v>
      </c>
      <c r="C926" s="24">
        <v>1</v>
      </c>
    </row>
    <row r="927" spans="1:3" x14ac:dyDescent="0.25">
      <c r="A927">
        <v>926</v>
      </c>
      <c r="B927" t="s">
        <v>970</v>
      </c>
      <c r="C927" s="24">
        <v>1</v>
      </c>
    </row>
    <row r="928" spans="1:3" x14ac:dyDescent="0.25">
      <c r="A928">
        <v>927</v>
      </c>
      <c r="B928" t="s">
        <v>971</v>
      </c>
      <c r="C928" s="24">
        <v>1</v>
      </c>
    </row>
    <row r="929" spans="1:3" x14ac:dyDescent="0.25">
      <c r="A929">
        <v>928</v>
      </c>
      <c r="B929" t="s">
        <v>972</v>
      </c>
      <c r="C929" s="24">
        <v>1</v>
      </c>
    </row>
    <row r="930" spans="1:3" x14ac:dyDescent="0.25">
      <c r="A930">
        <v>929</v>
      </c>
      <c r="B930" t="s">
        <v>973</v>
      </c>
      <c r="C930" s="24">
        <v>1</v>
      </c>
    </row>
    <row r="931" spans="1:3" x14ac:dyDescent="0.25">
      <c r="A931">
        <v>930</v>
      </c>
      <c r="B931" t="s">
        <v>974</v>
      </c>
      <c r="C931" s="24">
        <v>3</v>
      </c>
    </row>
    <row r="932" spans="1:3" x14ac:dyDescent="0.25">
      <c r="A932">
        <v>931</v>
      </c>
      <c r="B932" t="s">
        <v>975</v>
      </c>
      <c r="C932" s="24">
        <v>1</v>
      </c>
    </row>
    <row r="933" spans="1:3" x14ac:dyDescent="0.25">
      <c r="A933">
        <v>932</v>
      </c>
      <c r="B933" t="s">
        <v>976</v>
      </c>
      <c r="C933" s="24">
        <v>1</v>
      </c>
    </row>
    <row r="934" spans="1:3" x14ac:dyDescent="0.25">
      <c r="A934">
        <v>933</v>
      </c>
      <c r="B934" t="s">
        <v>977</v>
      </c>
      <c r="C934" s="24">
        <v>1</v>
      </c>
    </row>
    <row r="935" spans="1:3" x14ac:dyDescent="0.25">
      <c r="A935">
        <v>934</v>
      </c>
      <c r="B935" t="s">
        <v>978</v>
      </c>
      <c r="C935" s="24">
        <v>1</v>
      </c>
    </row>
    <row r="936" spans="1:3" x14ac:dyDescent="0.25">
      <c r="A936">
        <v>935</v>
      </c>
      <c r="B936" t="s">
        <v>979</v>
      </c>
      <c r="C936" s="24">
        <v>1</v>
      </c>
    </row>
    <row r="937" spans="1:3" x14ac:dyDescent="0.25">
      <c r="A937">
        <v>936</v>
      </c>
      <c r="B937" t="s">
        <v>980</v>
      </c>
      <c r="C937" s="24">
        <v>1</v>
      </c>
    </row>
    <row r="938" spans="1:3" x14ac:dyDescent="0.25">
      <c r="A938">
        <v>937</v>
      </c>
      <c r="B938" t="s">
        <v>981</v>
      </c>
      <c r="C938" s="24">
        <v>1</v>
      </c>
    </row>
    <row r="939" spans="1:3" x14ac:dyDescent="0.25">
      <c r="A939">
        <v>938</v>
      </c>
      <c r="B939" t="s">
        <v>982</v>
      </c>
      <c r="C939" s="24">
        <v>1</v>
      </c>
    </row>
    <row r="940" spans="1:3" x14ac:dyDescent="0.25">
      <c r="A940">
        <v>939</v>
      </c>
      <c r="B940" t="s">
        <v>983</v>
      </c>
      <c r="C940" s="24">
        <v>2</v>
      </c>
    </row>
    <row r="941" spans="1:3" x14ac:dyDescent="0.25">
      <c r="A941">
        <v>940</v>
      </c>
      <c r="B941" t="s">
        <v>984</v>
      </c>
      <c r="C941" s="24">
        <v>2</v>
      </c>
    </row>
    <row r="942" spans="1:3" x14ac:dyDescent="0.25">
      <c r="A942">
        <v>941</v>
      </c>
      <c r="B942" t="s">
        <v>985</v>
      </c>
      <c r="C942" s="24">
        <v>1</v>
      </c>
    </row>
    <row r="943" spans="1:3" x14ac:dyDescent="0.25">
      <c r="A943">
        <v>942</v>
      </c>
      <c r="B943" t="s">
        <v>986</v>
      </c>
      <c r="C943" s="24">
        <v>1</v>
      </c>
    </row>
    <row r="944" spans="1:3" x14ac:dyDescent="0.25">
      <c r="A944">
        <v>943</v>
      </c>
      <c r="B944" t="s">
        <v>987</v>
      </c>
      <c r="C944" s="24">
        <v>1</v>
      </c>
    </row>
    <row r="945" spans="1:3" x14ac:dyDescent="0.25">
      <c r="A945">
        <v>944</v>
      </c>
      <c r="B945" t="s">
        <v>988</v>
      </c>
      <c r="C945" s="24">
        <v>1</v>
      </c>
    </row>
    <row r="946" spans="1:3" x14ac:dyDescent="0.25">
      <c r="A946">
        <v>945</v>
      </c>
      <c r="B946" t="s">
        <v>989</v>
      </c>
      <c r="C946" s="24">
        <v>1</v>
      </c>
    </row>
    <row r="947" spans="1:3" x14ac:dyDescent="0.25">
      <c r="A947">
        <v>946</v>
      </c>
      <c r="B947" t="s">
        <v>990</v>
      </c>
      <c r="C947" s="24">
        <v>1</v>
      </c>
    </row>
    <row r="948" spans="1:3" x14ac:dyDescent="0.25">
      <c r="A948">
        <v>947</v>
      </c>
      <c r="B948" t="s">
        <v>991</v>
      </c>
      <c r="C948" s="24">
        <v>1</v>
      </c>
    </row>
    <row r="949" spans="1:3" x14ac:dyDescent="0.25">
      <c r="A949">
        <v>948</v>
      </c>
      <c r="B949" t="s">
        <v>992</v>
      </c>
      <c r="C949" s="24">
        <v>1</v>
      </c>
    </row>
    <row r="950" spans="1:3" x14ac:dyDescent="0.25">
      <c r="A950">
        <v>949</v>
      </c>
      <c r="B950" t="s">
        <v>993</v>
      </c>
      <c r="C950" s="24">
        <v>1</v>
      </c>
    </row>
    <row r="951" spans="1:3" x14ac:dyDescent="0.25">
      <c r="A951">
        <v>950</v>
      </c>
      <c r="B951" t="s">
        <v>994</v>
      </c>
      <c r="C951" s="24">
        <v>1</v>
      </c>
    </row>
    <row r="952" spans="1:3" x14ac:dyDescent="0.25">
      <c r="A952">
        <v>951</v>
      </c>
      <c r="B952" t="s">
        <v>995</v>
      </c>
      <c r="C952" s="24">
        <v>1</v>
      </c>
    </row>
    <row r="953" spans="1:3" x14ac:dyDescent="0.25">
      <c r="A953">
        <v>952</v>
      </c>
      <c r="B953" t="s">
        <v>996</v>
      </c>
      <c r="C953" s="24">
        <v>5</v>
      </c>
    </row>
    <row r="954" spans="1:3" x14ac:dyDescent="0.25">
      <c r="A954">
        <v>953</v>
      </c>
      <c r="B954" t="s">
        <v>997</v>
      </c>
      <c r="C954" s="24">
        <v>1</v>
      </c>
    </row>
    <row r="955" spans="1:3" x14ac:dyDescent="0.25">
      <c r="A955">
        <v>954</v>
      </c>
      <c r="B955" t="s">
        <v>998</v>
      </c>
      <c r="C955" s="24">
        <v>2</v>
      </c>
    </row>
    <row r="956" spans="1:3" x14ac:dyDescent="0.25">
      <c r="A956">
        <v>955</v>
      </c>
      <c r="B956" t="s">
        <v>999</v>
      </c>
      <c r="C956" s="24">
        <v>1</v>
      </c>
    </row>
    <row r="957" spans="1:3" x14ac:dyDescent="0.25">
      <c r="A957">
        <v>956</v>
      </c>
      <c r="B957" t="s">
        <v>1000</v>
      </c>
      <c r="C957" s="24">
        <v>1</v>
      </c>
    </row>
    <row r="958" spans="1:3" x14ac:dyDescent="0.25">
      <c r="A958">
        <v>957</v>
      </c>
      <c r="B958" t="s">
        <v>1001</v>
      </c>
      <c r="C958" s="24">
        <v>2</v>
      </c>
    </row>
    <row r="959" spans="1:3" x14ac:dyDescent="0.25">
      <c r="A959">
        <v>958</v>
      </c>
      <c r="B959" t="s">
        <v>1002</v>
      </c>
      <c r="C959" s="24">
        <v>1</v>
      </c>
    </row>
    <row r="960" spans="1:3" x14ac:dyDescent="0.25">
      <c r="A960">
        <v>959</v>
      </c>
      <c r="B960" t="s">
        <v>1003</v>
      </c>
      <c r="C960" s="24">
        <v>1</v>
      </c>
    </row>
    <row r="961" spans="1:3" x14ac:dyDescent="0.25">
      <c r="A961">
        <v>960</v>
      </c>
      <c r="B961" t="s">
        <v>1004</v>
      </c>
      <c r="C961" s="24">
        <v>1</v>
      </c>
    </row>
    <row r="962" spans="1:3" x14ac:dyDescent="0.25">
      <c r="A962">
        <v>961</v>
      </c>
      <c r="B962" t="s">
        <v>1005</v>
      </c>
      <c r="C962" s="24">
        <v>5</v>
      </c>
    </row>
    <row r="963" spans="1:3" x14ac:dyDescent="0.25">
      <c r="A963">
        <v>962</v>
      </c>
      <c r="B963" t="s">
        <v>1006</v>
      </c>
      <c r="C963" s="24">
        <v>1</v>
      </c>
    </row>
    <row r="964" spans="1:3" x14ac:dyDescent="0.25">
      <c r="A964">
        <v>963</v>
      </c>
      <c r="B964" t="s">
        <v>1007</v>
      </c>
      <c r="C964" s="24">
        <v>1</v>
      </c>
    </row>
    <row r="965" spans="1:3" x14ac:dyDescent="0.25">
      <c r="A965">
        <v>964</v>
      </c>
      <c r="B965" t="s">
        <v>1008</v>
      </c>
      <c r="C965" s="24">
        <v>1</v>
      </c>
    </row>
    <row r="966" spans="1:3" x14ac:dyDescent="0.25">
      <c r="A966">
        <v>965</v>
      </c>
      <c r="B966" t="s">
        <v>1009</v>
      </c>
      <c r="C966" s="24">
        <v>1</v>
      </c>
    </row>
    <row r="967" spans="1:3" x14ac:dyDescent="0.25">
      <c r="A967">
        <v>966</v>
      </c>
      <c r="B967" t="s">
        <v>1010</v>
      </c>
      <c r="C967" s="24">
        <v>3</v>
      </c>
    </row>
    <row r="968" spans="1:3" x14ac:dyDescent="0.25">
      <c r="A968">
        <v>967</v>
      </c>
      <c r="B968" t="s">
        <v>1011</v>
      </c>
      <c r="C968" s="24">
        <v>1</v>
      </c>
    </row>
    <row r="969" spans="1:3" x14ac:dyDescent="0.25">
      <c r="A969">
        <v>968</v>
      </c>
      <c r="B969" t="s">
        <v>1012</v>
      </c>
      <c r="C969" s="24">
        <v>1</v>
      </c>
    </row>
    <row r="970" spans="1:3" x14ac:dyDescent="0.25">
      <c r="A970">
        <v>969</v>
      </c>
      <c r="B970" t="s">
        <v>1013</v>
      </c>
      <c r="C970" s="24">
        <v>1</v>
      </c>
    </row>
    <row r="971" spans="1:3" x14ac:dyDescent="0.25">
      <c r="A971">
        <v>970</v>
      </c>
      <c r="B971" t="s">
        <v>1014</v>
      </c>
      <c r="C971" s="24">
        <v>5</v>
      </c>
    </row>
    <row r="972" spans="1:3" x14ac:dyDescent="0.25">
      <c r="A972">
        <v>971</v>
      </c>
      <c r="B972" t="s">
        <v>1015</v>
      </c>
      <c r="C972" s="24">
        <v>3</v>
      </c>
    </row>
    <row r="973" spans="1:3" x14ac:dyDescent="0.25">
      <c r="A973">
        <v>972</v>
      </c>
      <c r="B973" t="s">
        <v>1016</v>
      </c>
      <c r="C973" s="24">
        <v>5</v>
      </c>
    </row>
    <row r="974" spans="1:3" x14ac:dyDescent="0.25">
      <c r="A974">
        <v>973</v>
      </c>
      <c r="B974" t="s">
        <v>1017</v>
      </c>
      <c r="C974" s="24">
        <v>3</v>
      </c>
    </row>
    <row r="975" spans="1:3" x14ac:dyDescent="0.25">
      <c r="A975">
        <v>974</v>
      </c>
      <c r="B975" t="s">
        <v>1018</v>
      </c>
      <c r="C975" s="24">
        <v>1</v>
      </c>
    </row>
    <row r="976" spans="1:3" x14ac:dyDescent="0.25">
      <c r="A976">
        <v>975</v>
      </c>
      <c r="B976" t="s">
        <v>1019</v>
      </c>
      <c r="C976" s="24">
        <v>4</v>
      </c>
    </row>
    <row r="977" spans="1:3" x14ac:dyDescent="0.25">
      <c r="A977">
        <v>976</v>
      </c>
      <c r="B977" t="s">
        <v>1020</v>
      </c>
      <c r="C977" s="24">
        <v>2</v>
      </c>
    </row>
    <row r="978" spans="1:3" x14ac:dyDescent="0.25">
      <c r="A978">
        <v>977</v>
      </c>
      <c r="B978" t="s">
        <v>1021</v>
      </c>
      <c r="C978" s="24">
        <v>1</v>
      </c>
    </row>
    <row r="979" spans="1:3" x14ac:dyDescent="0.25">
      <c r="A979">
        <v>978</v>
      </c>
      <c r="B979" t="s">
        <v>1022</v>
      </c>
      <c r="C979" s="24">
        <v>1</v>
      </c>
    </row>
    <row r="980" spans="1:3" x14ac:dyDescent="0.25">
      <c r="A980">
        <v>979</v>
      </c>
      <c r="B980" t="s">
        <v>1023</v>
      </c>
      <c r="C980" s="24">
        <v>2</v>
      </c>
    </row>
    <row r="981" spans="1:3" x14ac:dyDescent="0.25">
      <c r="A981">
        <v>980</v>
      </c>
      <c r="B981" t="s">
        <v>1024</v>
      </c>
      <c r="C981" s="24">
        <v>1</v>
      </c>
    </row>
    <row r="982" spans="1:3" x14ac:dyDescent="0.25">
      <c r="A982">
        <v>981</v>
      </c>
      <c r="B982" t="s">
        <v>1025</v>
      </c>
      <c r="C982" s="24">
        <v>2</v>
      </c>
    </row>
    <row r="983" spans="1:3" x14ac:dyDescent="0.25">
      <c r="A983">
        <v>982</v>
      </c>
      <c r="B983" t="s">
        <v>1026</v>
      </c>
      <c r="C983" s="24">
        <v>2</v>
      </c>
    </row>
    <row r="984" spans="1:3" x14ac:dyDescent="0.25">
      <c r="A984">
        <v>983</v>
      </c>
      <c r="B984" t="s">
        <v>1027</v>
      </c>
      <c r="C984" s="24">
        <v>1</v>
      </c>
    </row>
    <row r="985" spans="1:3" x14ac:dyDescent="0.25">
      <c r="A985">
        <v>984</v>
      </c>
      <c r="B985" t="s">
        <v>1028</v>
      </c>
      <c r="C985" s="24">
        <v>1</v>
      </c>
    </row>
    <row r="986" spans="1:3" x14ac:dyDescent="0.25">
      <c r="A986">
        <v>985</v>
      </c>
      <c r="B986" t="s">
        <v>1029</v>
      </c>
      <c r="C986" s="24">
        <v>3</v>
      </c>
    </row>
    <row r="987" spans="1:3" x14ac:dyDescent="0.25">
      <c r="A987">
        <v>986</v>
      </c>
      <c r="B987" t="s">
        <v>1030</v>
      </c>
      <c r="C987" s="24">
        <v>2</v>
      </c>
    </row>
    <row r="988" spans="1:3" x14ac:dyDescent="0.25">
      <c r="A988">
        <v>987</v>
      </c>
      <c r="B988" t="s">
        <v>1031</v>
      </c>
      <c r="C988" s="24">
        <v>1</v>
      </c>
    </row>
    <row r="989" spans="1:3" x14ac:dyDescent="0.25">
      <c r="A989">
        <v>988</v>
      </c>
      <c r="B989" t="s">
        <v>1032</v>
      </c>
      <c r="C989" s="24">
        <v>1</v>
      </c>
    </row>
    <row r="990" spans="1:3" x14ac:dyDescent="0.25">
      <c r="A990">
        <v>989</v>
      </c>
      <c r="B990" t="s">
        <v>1033</v>
      </c>
      <c r="C990" s="24">
        <v>1</v>
      </c>
    </row>
    <row r="991" spans="1:3" x14ac:dyDescent="0.25">
      <c r="A991">
        <v>990</v>
      </c>
      <c r="B991" t="s">
        <v>1034</v>
      </c>
      <c r="C991" s="24">
        <v>5</v>
      </c>
    </row>
    <row r="992" spans="1:3" x14ac:dyDescent="0.25">
      <c r="A992">
        <v>991</v>
      </c>
      <c r="B992" t="s">
        <v>1035</v>
      </c>
      <c r="C992" s="24">
        <v>1</v>
      </c>
    </row>
    <row r="993" spans="1:3" x14ac:dyDescent="0.25">
      <c r="A993">
        <v>992</v>
      </c>
      <c r="B993" t="s">
        <v>1036</v>
      </c>
      <c r="C993" s="24">
        <v>4</v>
      </c>
    </row>
    <row r="994" spans="1:3" x14ac:dyDescent="0.25">
      <c r="A994">
        <v>993</v>
      </c>
      <c r="B994" t="s">
        <v>1037</v>
      </c>
      <c r="C994" s="24">
        <v>1</v>
      </c>
    </row>
    <row r="995" spans="1:3" x14ac:dyDescent="0.25">
      <c r="A995">
        <v>994</v>
      </c>
      <c r="B995" t="s">
        <v>1038</v>
      </c>
      <c r="C995" s="24">
        <v>1</v>
      </c>
    </row>
    <row r="996" spans="1:3" x14ac:dyDescent="0.25">
      <c r="A996">
        <v>995</v>
      </c>
      <c r="B996" t="s">
        <v>1039</v>
      </c>
      <c r="C996" s="24">
        <v>4</v>
      </c>
    </row>
    <row r="997" spans="1:3" x14ac:dyDescent="0.25">
      <c r="A997">
        <v>996</v>
      </c>
      <c r="B997" t="s">
        <v>1040</v>
      </c>
      <c r="C997" s="24">
        <v>1</v>
      </c>
    </row>
    <row r="998" spans="1:3" x14ac:dyDescent="0.25">
      <c r="A998">
        <v>997</v>
      </c>
      <c r="B998" t="s">
        <v>1041</v>
      </c>
      <c r="C998" s="24">
        <v>1</v>
      </c>
    </row>
    <row r="999" spans="1:3" x14ac:dyDescent="0.25">
      <c r="A999">
        <v>998</v>
      </c>
      <c r="B999" t="s">
        <v>1042</v>
      </c>
      <c r="C999" s="24">
        <v>4</v>
      </c>
    </row>
    <row r="1000" spans="1:3" x14ac:dyDescent="0.25">
      <c r="A1000">
        <v>999</v>
      </c>
      <c r="B1000" t="s">
        <v>1043</v>
      </c>
      <c r="C1000" s="24">
        <v>1</v>
      </c>
    </row>
    <row r="1001" spans="1:3" x14ac:dyDescent="0.25">
      <c r="A1001">
        <v>1000</v>
      </c>
      <c r="B1001" t="s">
        <v>1044</v>
      </c>
      <c r="C1001" s="24">
        <v>1</v>
      </c>
    </row>
    <row r="1002" spans="1:3" x14ac:dyDescent="0.25">
      <c r="A1002">
        <v>1001</v>
      </c>
      <c r="B1002" t="s">
        <v>1045</v>
      </c>
      <c r="C1002" s="24">
        <v>1</v>
      </c>
    </row>
    <row r="1003" spans="1:3" x14ac:dyDescent="0.25">
      <c r="A1003">
        <v>1002</v>
      </c>
      <c r="B1003" t="s">
        <v>1046</v>
      </c>
      <c r="C1003" s="24">
        <v>1</v>
      </c>
    </row>
    <row r="1004" spans="1:3" x14ac:dyDescent="0.25">
      <c r="A1004">
        <v>1003</v>
      </c>
      <c r="B1004" t="s">
        <v>1047</v>
      </c>
      <c r="C1004" s="24">
        <v>4</v>
      </c>
    </row>
    <row r="1005" spans="1:3" x14ac:dyDescent="0.25">
      <c r="A1005">
        <v>1004</v>
      </c>
      <c r="B1005" t="s">
        <v>1048</v>
      </c>
      <c r="C1005" s="24">
        <v>4</v>
      </c>
    </row>
    <row r="1006" spans="1:3" x14ac:dyDescent="0.25">
      <c r="A1006">
        <v>1005</v>
      </c>
      <c r="B1006" t="s">
        <v>1049</v>
      </c>
      <c r="C1006" s="24">
        <v>2</v>
      </c>
    </row>
    <row r="1007" spans="1:3" x14ac:dyDescent="0.25">
      <c r="A1007">
        <v>1006</v>
      </c>
      <c r="B1007" t="s">
        <v>1050</v>
      </c>
      <c r="C1007" s="24">
        <v>1</v>
      </c>
    </row>
    <row r="1008" spans="1:3" x14ac:dyDescent="0.25">
      <c r="A1008">
        <v>1007</v>
      </c>
      <c r="B1008" t="s">
        <v>1051</v>
      </c>
      <c r="C1008" s="24">
        <v>1</v>
      </c>
    </row>
    <row r="1009" spans="1:3" x14ac:dyDescent="0.25">
      <c r="A1009">
        <v>1008</v>
      </c>
      <c r="B1009" t="s">
        <v>1052</v>
      </c>
      <c r="C1009" s="24">
        <v>2</v>
      </c>
    </row>
    <row r="1010" spans="1:3" x14ac:dyDescent="0.25">
      <c r="A1010">
        <v>1009</v>
      </c>
      <c r="B1010" t="s">
        <v>1053</v>
      </c>
      <c r="C1010" s="24">
        <v>1</v>
      </c>
    </row>
    <row r="1011" spans="1:3" x14ac:dyDescent="0.25">
      <c r="A1011">
        <v>1010</v>
      </c>
      <c r="B1011" t="s">
        <v>1054</v>
      </c>
      <c r="C1011" s="24">
        <v>4</v>
      </c>
    </row>
    <row r="1012" spans="1:3" x14ac:dyDescent="0.25">
      <c r="A1012">
        <v>1011</v>
      </c>
      <c r="B1012" t="s">
        <v>1055</v>
      </c>
      <c r="C1012" s="24">
        <v>1</v>
      </c>
    </row>
    <row r="1013" spans="1:3" x14ac:dyDescent="0.25">
      <c r="A1013">
        <v>1012</v>
      </c>
      <c r="B1013" t="s">
        <v>1056</v>
      </c>
      <c r="C1013" s="24">
        <v>1</v>
      </c>
    </row>
    <row r="1014" spans="1:3" x14ac:dyDescent="0.25">
      <c r="A1014">
        <v>1013</v>
      </c>
      <c r="B1014" t="s">
        <v>1057</v>
      </c>
      <c r="C1014" s="24">
        <v>1</v>
      </c>
    </row>
    <row r="1015" spans="1:3" x14ac:dyDescent="0.25">
      <c r="A1015">
        <v>1014</v>
      </c>
      <c r="B1015" t="s">
        <v>1058</v>
      </c>
      <c r="C1015" s="24">
        <v>4</v>
      </c>
    </row>
    <row r="1016" spans="1:3" x14ac:dyDescent="0.25">
      <c r="A1016">
        <v>1015</v>
      </c>
      <c r="B1016" t="s">
        <v>1059</v>
      </c>
      <c r="C1016" s="24">
        <v>2</v>
      </c>
    </row>
    <row r="1017" spans="1:3" x14ac:dyDescent="0.25">
      <c r="A1017">
        <v>1016</v>
      </c>
      <c r="B1017" t="s">
        <v>1060</v>
      </c>
      <c r="C1017" s="24">
        <v>1</v>
      </c>
    </row>
    <row r="1018" spans="1:3" x14ac:dyDescent="0.25">
      <c r="A1018">
        <v>1017</v>
      </c>
      <c r="B1018" t="s">
        <v>1061</v>
      </c>
      <c r="C1018" s="24">
        <v>1</v>
      </c>
    </row>
    <row r="1019" spans="1:3" x14ac:dyDescent="0.25">
      <c r="A1019">
        <v>1018</v>
      </c>
      <c r="B1019" t="s">
        <v>1062</v>
      </c>
      <c r="C1019" s="24">
        <v>1</v>
      </c>
    </row>
    <row r="1020" spans="1:3" x14ac:dyDescent="0.25">
      <c r="A1020">
        <v>1019</v>
      </c>
      <c r="B1020" t="s">
        <v>1063</v>
      </c>
      <c r="C1020" s="24">
        <v>5</v>
      </c>
    </row>
    <row r="1021" spans="1:3" x14ac:dyDescent="0.25">
      <c r="A1021">
        <v>1020</v>
      </c>
      <c r="B1021" t="s">
        <v>1064</v>
      </c>
      <c r="C1021" s="24">
        <v>1</v>
      </c>
    </row>
    <row r="1022" spans="1:3" x14ac:dyDescent="0.25">
      <c r="A1022">
        <v>1021</v>
      </c>
      <c r="B1022" t="s">
        <v>1065</v>
      </c>
      <c r="C1022" s="24">
        <v>2</v>
      </c>
    </row>
    <row r="1023" spans="1:3" x14ac:dyDescent="0.25">
      <c r="A1023">
        <v>1022</v>
      </c>
      <c r="B1023" t="s">
        <v>1066</v>
      </c>
      <c r="C1023" s="24">
        <v>5</v>
      </c>
    </row>
    <row r="1024" spans="1:3" x14ac:dyDescent="0.25">
      <c r="A1024">
        <v>1023</v>
      </c>
      <c r="B1024" t="s">
        <v>1067</v>
      </c>
      <c r="C1024" s="24">
        <v>2</v>
      </c>
    </row>
    <row r="1025" spans="1:3" x14ac:dyDescent="0.25">
      <c r="A1025">
        <v>1024</v>
      </c>
      <c r="B1025" t="s">
        <v>1068</v>
      </c>
      <c r="C1025" s="24">
        <v>4</v>
      </c>
    </row>
    <row r="1026" spans="1:3" x14ac:dyDescent="0.25">
      <c r="A1026">
        <v>1025</v>
      </c>
      <c r="B1026" t="s">
        <v>1069</v>
      </c>
      <c r="C1026" s="24">
        <v>5</v>
      </c>
    </row>
    <row r="1027" spans="1:3" x14ac:dyDescent="0.25">
      <c r="A1027">
        <v>1026</v>
      </c>
      <c r="B1027" t="s">
        <v>1070</v>
      </c>
      <c r="C1027" s="24">
        <v>1</v>
      </c>
    </row>
    <row r="1028" spans="1:3" x14ac:dyDescent="0.25">
      <c r="A1028">
        <v>1027</v>
      </c>
      <c r="B1028" t="s">
        <v>1071</v>
      </c>
      <c r="C1028" s="24">
        <v>1</v>
      </c>
    </row>
    <row r="1029" spans="1:3" x14ac:dyDescent="0.25">
      <c r="A1029">
        <v>1028</v>
      </c>
      <c r="B1029" t="s">
        <v>1072</v>
      </c>
      <c r="C1029" s="24">
        <v>1</v>
      </c>
    </row>
    <row r="1030" spans="1:3" x14ac:dyDescent="0.25">
      <c r="A1030">
        <v>1029</v>
      </c>
      <c r="B1030" t="s">
        <v>1073</v>
      </c>
      <c r="C1030" s="24">
        <v>1</v>
      </c>
    </row>
    <row r="1031" spans="1:3" x14ac:dyDescent="0.25">
      <c r="A1031">
        <v>1030</v>
      </c>
      <c r="B1031" t="s">
        <v>1074</v>
      </c>
      <c r="C1031" s="24">
        <v>1</v>
      </c>
    </row>
    <row r="1032" spans="1:3" x14ac:dyDescent="0.25">
      <c r="A1032">
        <v>1031</v>
      </c>
      <c r="B1032" t="s">
        <v>1075</v>
      </c>
      <c r="C1032" s="24">
        <v>1</v>
      </c>
    </row>
    <row r="1033" spans="1:3" x14ac:dyDescent="0.25">
      <c r="A1033">
        <v>1032</v>
      </c>
      <c r="B1033" t="s">
        <v>1076</v>
      </c>
      <c r="C1033" s="24">
        <v>1</v>
      </c>
    </row>
    <row r="1034" spans="1:3" x14ac:dyDescent="0.25">
      <c r="A1034">
        <v>1033</v>
      </c>
      <c r="B1034" t="s">
        <v>1077</v>
      </c>
      <c r="C1034" s="24">
        <v>1</v>
      </c>
    </row>
    <row r="1035" spans="1:3" x14ac:dyDescent="0.25">
      <c r="A1035">
        <v>1034</v>
      </c>
      <c r="B1035" t="s">
        <v>1078</v>
      </c>
      <c r="C1035" s="24">
        <v>4</v>
      </c>
    </row>
    <row r="1036" spans="1:3" x14ac:dyDescent="0.25">
      <c r="A1036">
        <v>1035</v>
      </c>
      <c r="B1036" t="s">
        <v>1079</v>
      </c>
      <c r="C1036" s="24">
        <v>1</v>
      </c>
    </row>
    <row r="1037" spans="1:3" x14ac:dyDescent="0.25">
      <c r="A1037">
        <v>1036</v>
      </c>
      <c r="B1037" t="s">
        <v>1080</v>
      </c>
      <c r="C1037" s="24">
        <v>4</v>
      </c>
    </row>
    <row r="1038" spans="1:3" x14ac:dyDescent="0.25">
      <c r="A1038">
        <v>1037</v>
      </c>
      <c r="B1038" t="s">
        <v>1081</v>
      </c>
      <c r="C1038" s="24">
        <v>1</v>
      </c>
    </row>
    <row r="1039" spans="1:3" x14ac:dyDescent="0.25">
      <c r="A1039">
        <v>1038</v>
      </c>
      <c r="B1039" t="s">
        <v>1082</v>
      </c>
      <c r="C1039" s="24">
        <v>1</v>
      </c>
    </row>
    <row r="1040" spans="1:3" x14ac:dyDescent="0.25">
      <c r="A1040">
        <v>1039</v>
      </c>
      <c r="B1040" t="s">
        <v>1083</v>
      </c>
      <c r="C1040" s="24">
        <v>3</v>
      </c>
    </row>
    <row r="1041" spans="1:3" x14ac:dyDescent="0.25">
      <c r="A1041">
        <v>1040</v>
      </c>
      <c r="B1041" t="s">
        <v>1084</v>
      </c>
      <c r="C1041" s="24">
        <v>1</v>
      </c>
    </row>
    <row r="1042" spans="1:3" x14ac:dyDescent="0.25">
      <c r="A1042">
        <v>1041</v>
      </c>
      <c r="B1042" t="s">
        <v>1085</v>
      </c>
      <c r="C1042" s="24">
        <v>1</v>
      </c>
    </row>
    <row r="1043" spans="1:3" x14ac:dyDescent="0.25">
      <c r="A1043">
        <v>1042</v>
      </c>
      <c r="B1043" t="s">
        <v>1086</v>
      </c>
      <c r="C1043" s="24">
        <v>1</v>
      </c>
    </row>
    <row r="1044" spans="1:3" x14ac:dyDescent="0.25">
      <c r="A1044">
        <v>1043</v>
      </c>
      <c r="B1044" t="s">
        <v>1087</v>
      </c>
      <c r="C1044" s="24">
        <v>1</v>
      </c>
    </row>
    <row r="1045" spans="1:3" x14ac:dyDescent="0.25">
      <c r="A1045">
        <v>1044</v>
      </c>
      <c r="B1045" t="s">
        <v>1088</v>
      </c>
      <c r="C1045" s="24">
        <v>1</v>
      </c>
    </row>
    <row r="1046" spans="1:3" x14ac:dyDescent="0.25">
      <c r="A1046">
        <v>1045</v>
      </c>
      <c r="B1046" t="s">
        <v>1089</v>
      </c>
      <c r="C1046" s="24">
        <v>1</v>
      </c>
    </row>
    <row r="1047" spans="1:3" x14ac:dyDescent="0.25">
      <c r="A1047">
        <v>1046</v>
      </c>
      <c r="B1047" t="s">
        <v>1090</v>
      </c>
      <c r="C1047" s="24">
        <v>1</v>
      </c>
    </row>
    <row r="1048" spans="1:3" x14ac:dyDescent="0.25">
      <c r="A1048">
        <v>1047</v>
      </c>
      <c r="B1048" t="s">
        <v>1091</v>
      </c>
      <c r="C1048" s="24">
        <v>2</v>
      </c>
    </row>
    <row r="1049" spans="1:3" x14ac:dyDescent="0.25">
      <c r="A1049">
        <v>1048</v>
      </c>
      <c r="B1049" t="s">
        <v>1092</v>
      </c>
      <c r="C1049" s="24">
        <v>1</v>
      </c>
    </row>
    <row r="1050" spans="1:3" x14ac:dyDescent="0.25">
      <c r="A1050">
        <v>1049</v>
      </c>
      <c r="B1050" t="s">
        <v>1093</v>
      </c>
      <c r="C1050" s="24">
        <v>1</v>
      </c>
    </row>
    <row r="1051" spans="1:3" x14ac:dyDescent="0.25">
      <c r="A1051">
        <v>1050</v>
      </c>
      <c r="B1051" t="s">
        <v>1094</v>
      </c>
      <c r="C1051" s="24">
        <v>1</v>
      </c>
    </row>
    <row r="1052" spans="1:3" x14ac:dyDescent="0.25">
      <c r="A1052">
        <v>1051</v>
      </c>
      <c r="B1052" t="s">
        <v>1095</v>
      </c>
      <c r="C1052" s="24">
        <v>1</v>
      </c>
    </row>
    <row r="1053" spans="1:3" x14ac:dyDescent="0.25">
      <c r="A1053">
        <v>1052</v>
      </c>
      <c r="B1053" t="s">
        <v>1096</v>
      </c>
      <c r="C1053" s="24">
        <v>1</v>
      </c>
    </row>
    <row r="1054" spans="1:3" x14ac:dyDescent="0.25">
      <c r="A1054">
        <v>1053</v>
      </c>
      <c r="B1054" t="s">
        <v>1097</v>
      </c>
      <c r="C1054" s="24">
        <v>1</v>
      </c>
    </row>
    <row r="1055" spans="1:3" x14ac:dyDescent="0.25">
      <c r="A1055">
        <v>1054</v>
      </c>
      <c r="B1055" t="s">
        <v>1098</v>
      </c>
      <c r="C1055" s="24">
        <v>4</v>
      </c>
    </row>
    <row r="1056" spans="1:3" x14ac:dyDescent="0.25">
      <c r="A1056">
        <v>1055</v>
      </c>
      <c r="B1056" t="s">
        <v>1099</v>
      </c>
      <c r="C1056" s="24">
        <v>1</v>
      </c>
    </row>
    <row r="1057" spans="1:3" x14ac:dyDescent="0.25">
      <c r="A1057">
        <v>1056</v>
      </c>
      <c r="B1057" t="s">
        <v>1100</v>
      </c>
      <c r="C1057" s="24">
        <v>1</v>
      </c>
    </row>
    <row r="1058" spans="1:3" x14ac:dyDescent="0.25">
      <c r="A1058">
        <v>1057</v>
      </c>
      <c r="B1058" t="s">
        <v>1101</v>
      </c>
      <c r="C1058" s="24">
        <v>1</v>
      </c>
    </row>
    <row r="1059" spans="1:3" x14ac:dyDescent="0.25">
      <c r="A1059">
        <v>1058</v>
      </c>
      <c r="B1059" t="s">
        <v>1102</v>
      </c>
      <c r="C1059" s="24">
        <v>1</v>
      </c>
    </row>
    <row r="1060" spans="1:3" x14ac:dyDescent="0.25">
      <c r="A1060">
        <v>1059</v>
      </c>
      <c r="B1060" t="s">
        <v>1103</v>
      </c>
      <c r="C1060" s="24">
        <v>1</v>
      </c>
    </row>
    <row r="1061" spans="1:3" x14ac:dyDescent="0.25">
      <c r="A1061">
        <v>1060</v>
      </c>
      <c r="B1061" t="s">
        <v>1104</v>
      </c>
      <c r="C1061" s="24">
        <v>3</v>
      </c>
    </row>
    <row r="1062" spans="1:3" x14ac:dyDescent="0.25">
      <c r="A1062">
        <v>1061</v>
      </c>
      <c r="B1062" t="s">
        <v>1105</v>
      </c>
      <c r="C1062" s="24">
        <v>1</v>
      </c>
    </row>
    <row r="1063" spans="1:3" x14ac:dyDescent="0.25">
      <c r="A1063">
        <v>1062</v>
      </c>
      <c r="B1063" t="s">
        <v>1106</v>
      </c>
      <c r="C1063" s="24">
        <v>1</v>
      </c>
    </row>
    <row r="1064" spans="1:3" x14ac:dyDescent="0.25">
      <c r="A1064">
        <v>1063</v>
      </c>
      <c r="B1064" t="s">
        <v>1107</v>
      </c>
      <c r="C1064" s="24">
        <v>1</v>
      </c>
    </row>
    <row r="1065" spans="1:3" x14ac:dyDescent="0.25">
      <c r="A1065">
        <v>1064</v>
      </c>
      <c r="B1065" t="s">
        <v>1108</v>
      </c>
      <c r="C1065" s="24">
        <v>4</v>
      </c>
    </row>
    <row r="1066" spans="1:3" x14ac:dyDescent="0.25">
      <c r="A1066">
        <v>1065</v>
      </c>
      <c r="B1066" t="s">
        <v>1109</v>
      </c>
      <c r="C1066" s="24">
        <v>6</v>
      </c>
    </row>
    <row r="1067" spans="1:3" x14ac:dyDescent="0.25">
      <c r="A1067">
        <v>1066</v>
      </c>
      <c r="B1067" t="s">
        <v>1110</v>
      </c>
      <c r="C1067" s="24">
        <v>1</v>
      </c>
    </row>
    <row r="1068" spans="1:3" x14ac:dyDescent="0.25">
      <c r="A1068">
        <v>1067</v>
      </c>
      <c r="B1068" t="s">
        <v>1111</v>
      </c>
      <c r="C1068" s="24">
        <v>1</v>
      </c>
    </row>
    <row r="1069" spans="1:3" x14ac:dyDescent="0.25">
      <c r="A1069">
        <v>1068</v>
      </c>
      <c r="B1069" t="s">
        <v>1112</v>
      </c>
      <c r="C1069" s="24">
        <v>2</v>
      </c>
    </row>
    <row r="1070" spans="1:3" x14ac:dyDescent="0.25">
      <c r="A1070">
        <v>1069</v>
      </c>
      <c r="B1070" t="s">
        <v>1113</v>
      </c>
      <c r="C1070" s="24">
        <v>1</v>
      </c>
    </row>
    <row r="1071" spans="1:3" x14ac:dyDescent="0.25">
      <c r="A1071">
        <v>1070</v>
      </c>
      <c r="B1071" t="s">
        <v>1114</v>
      </c>
      <c r="C1071" s="24">
        <v>1</v>
      </c>
    </row>
    <row r="1072" spans="1:3" x14ac:dyDescent="0.25">
      <c r="A1072">
        <v>1071</v>
      </c>
      <c r="B1072" t="s">
        <v>1115</v>
      </c>
      <c r="C1072" s="24">
        <v>1</v>
      </c>
    </row>
    <row r="1073" spans="1:3" x14ac:dyDescent="0.25">
      <c r="A1073">
        <v>1072</v>
      </c>
      <c r="B1073" t="s">
        <v>1116</v>
      </c>
      <c r="C1073" s="24">
        <v>2</v>
      </c>
    </row>
    <row r="1074" spans="1:3" x14ac:dyDescent="0.25">
      <c r="A1074">
        <v>1073</v>
      </c>
      <c r="B1074" t="s">
        <v>1117</v>
      </c>
      <c r="C1074" s="24">
        <v>1</v>
      </c>
    </row>
    <row r="1075" spans="1:3" x14ac:dyDescent="0.25">
      <c r="A1075">
        <v>1074</v>
      </c>
      <c r="B1075" t="s">
        <v>1118</v>
      </c>
      <c r="C1075" s="24">
        <v>1</v>
      </c>
    </row>
    <row r="1076" spans="1:3" x14ac:dyDescent="0.25">
      <c r="A1076">
        <v>1075</v>
      </c>
      <c r="B1076" t="s">
        <v>1119</v>
      </c>
      <c r="C1076" s="24">
        <v>2</v>
      </c>
    </row>
    <row r="1077" spans="1:3" x14ac:dyDescent="0.25">
      <c r="A1077">
        <v>1076</v>
      </c>
      <c r="B1077" t="s">
        <v>1120</v>
      </c>
      <c r="C1077" s="24">
        <v>1</v>
      </c>
    </row>
    <row r="1078" spans="1:3" x14ac:dyDescent="0.25">
      <c r="A1078">
        <v>1077</v>
      </c>
      <c r="B1078" t="s">
        <v>1121</v>
      </c>
      <c r="C1078" s="24">
        <v>1</v>
      </c>
    </row>
    <row r="1079" spans="1:3" x14ac:dyDescent="0.25">
      <c r="A1079">
        <v>1078</v>
      </c>
      <c r="B1079" t="s">
        <v>1122</v>
      </c>
      <c r="C1079" s="24">
        <v>1</v>
      </c>
    </row>
    <row r="1080" spans="1:3" x14ac:dyDescent="0.25">
      <c r="A1080">
        <v>1079</v>
      </c>
      <c r="B1080" t="s">
        <v>1123</v>
      </c>
      <c r="C1080" s="24">
        <v>1</v>
      </c>
    </row>
    <row r="1081" spans="1:3" x14ac:dyDescent="0.25">
      <c r="A1081">
        <v>1080</v>
      </c>
      <c r="B1081" t="s">
        <v>1124</v>
      </c>
      <c r="C1081" s="24">
        <v>1</v>
      </c>
    </row>
    <row r="1082" spans="1:3" x14ac:dyDescent="0.25">
      <c r="A1082">
        <v>1081</v>
      </c>
      <c r="B1082" t="s">
        <v>1125</v>
      </c>
      <c r="C1082" s="24">
        <v>2</v>
      </c>
    </row>
    <row r="1083" spans="1:3" x14ac:dyDescent="0.25">
      <c r="A1083">
        <v>1082</v>
      </c>
      <c r="B1083" t="s">
        <v>1126</v>
      </c>
      <c r="C1083" s="24">
        <v>1</v>
      </c>
    </row>
    <row r="1084" spans="1:3" x14ac:dyDescent="0.25">
      <c r="A1084">
        <v>1083</v>
      </c>
      <c r="B1084" t="s">
        <v>1127</v>
      </c>
      <c r="C1084" s="24">
        <v>4</v>
      </c>
    </row>
    <row r="1085" spans="1:3" x14ac:dyDescent="0.25">
      <c r="A1085">
        <v>1084</v>
      </c>
      <c r="B1085" t="s">
        <v>1128</v>
      </c>
      <c r="C1085" s="24">
        <v>1</v>
      </c>
    </row>
    <row r="1086" spans="1:3" x14ac:dyDescent="0.25">
      <c r="A1086">
        <v>1085</v>
      </c>
      <c r="B1086" t="s">
        <v>1129</v>
      </c>
      <c r="C1086" s="24">
        <v>1</v>
      </c>
    </row>
    <row r="1087" spans="1:3" x14ac:dyDescent="0.25">
      <c r="A1087">
        <v>1086</v>
      </c>
      <c r="B1087" t="s">
        <v>1130</v>
      </c>
      <c r="C1087" s="24">
        <v>1</v>
      </c>
    </row>
    <row r="1088" spans="1:3" x14ac:dyDescent="0.25">
      <c r="A1088">
        <v>1087</v>
      </c>
      <c r="B1088" t="s">
        <v>1131</v>
      </c>
      <c r="C1088" s="24">
        <v>1</v>
      </c>
    </row>
    <row r="1089" spans="1:3" x14ac:dyDescent="0.25">
      <c r="A1089">
        <v>1088</v>
      </c>
      <c r="B1089" t="s">
        <v>1132</v>
      </c>
      <c r="C1089" s="24">
        <v>6</v>
      </c>
    </row>
    <row r="1090" spans="1:3" x14ac:dyDescent="0.25">
      <c r="A1090">
        <v>1089</v>
      </c>
      <c r="B1090" t="s">
        <v>1133</v>
      </c>
      <c r="C1090" s="24">
        <v>1</v>
      </c>
    </row>
    <row r="1091" spans="1:3" x14ac:dyDescent="0.25">
      <c r="A1091">
        <v>1090</v>
      </c>
      <c r="B1091" t="s">
        <v>1134</v>
      </c>
      <c r="C1091" s="24">
        <v>1</v>
      </c>
    </row>
    <row r="1092" spans="1:3" x14ac:dyDescent="0.25">
      <c r="A1092">
        <v>1091</v>
      </c>
      <c r="B1092" t="s">
        <v>1135</v>
      </c>
      <c r="C1092" s="24">
        <v>1</v>
      </c>
    </row>
    <row r="1093" spans="1:3" x14ac:dyDescent="0.25">
      <c r="A1093">
        <v>1092</v>
      </c>
      <c r="B1093" t="s">
        <v>1136</v>
      </c>
      <c r="C1093" s="24">
        <v>1</v>
      </c>
    </row>
    <row r="1094" spans="1:3" x14ac:dyDescent="0.25">
      <c r="A1094">
        <v>1093</v>
      </c>
      <c r="B1094" t="s">
        <v>1137</v>
      </c>
      <c r="C1094" s="24">
        <v>6</v>
      </c>
    </row>
    <row r="1095" spans="1:3" x14ac:dyDescent="0.25">
      <c r="A1095">
        <v>1094</v>
      </c>
      <c r="B1095" t="s">
        <v>1138</v>
      </c>
      <c r="C1095" s="24">
        <v>1</v>
      </c>
    </row>
    <row r="1096" spans="1:3" x14ac:dyDescent="0.25">
      <c r="A1096">
        <v>1095</v>
      </c>
      <c r="B1096" t="s">
        <v>1139</v>
      </c>
      <c r="C1096" s="24">
        <v>5</v>
      </c>
    </row>
    <row r="1097" spans="1:3" x14ac:dyDescent="0.25">
      <c r="A1097">
        <v>1096</v>
      </c>
      <c r="B1097" t="s">
        <v>1140</v>
      </c>
      <c r="C1097" s="24">
        <v>1</v>
      </c>
    </row>
    <row r="1098" spans="1:3" x14ac:dyDescent="0.25">
      <c r="A1098">
        <v>1097</v>
      </c>
      <c r="B1098" t="s">
        <v>1141</v>
      </c>
      <c r="C1098" s="24">
        <v>2</v>
      </c>
    </row>
    <row r="1099" spans="1:3" x14ac:dyDescent="0.25">
      <c r="A1099">
        <v>1098</v>
      </c>
      <c r="B1099" t="s">
        <v>1142</v>
      </c>
      <c r="C1099" s="24">
        <v>1</v>
      </c>
    </row>
    <row r="1100" spans="1:3" x14ac:dyDescent="0.25">
      <c r="A1100">
        <v>1099</v>
      </c>
      <c r="B1100" t="s">
        <v>1143</v>
      </c>
      <c r="C1100" s="24">
        <v>1</v>
      </c>
    </row>
    <row r="1101" spans="1:3" x14ac:dyDescent="0.25">
      <c r="A1101">
        <v>1100</v>
      </c>
      <c r="B1101" t="s">
        <v>1144</v>
      </c>
      <c r="C1101" s="24">
        <v>4</v>
      </c>
    </row>
    <row r="1102" spans="1:3" x14ac:dyDescent="0.25">
      <c r="A1102">
        <v>1101</v>
      </c>
      <c r="B1102" t="s">
        <v>1145</v>
      </c>
      <c r="C1102" s="24">
        <v>1</v>
      </c>
    </row>
    <row r="1103" spans="1:3" x14ac:dyDescent="0.25">
      <c r="A1103">
        <v>1102</v>
      </c>
      <c r="B1103" t="s">
        <v>1146</v>
      </c>
      <c r="C1103" s="24">
        <v>1</v>
      </c>
    </row>
    <row r="1104" spans="1:3" x14ac:dyDescent="0.25">
      <c r="A1104">
        <v>1103</v>
      </c>
      <c r="B1104" t="s">
        <v>1147</v>
      </c>
      <c r="C1104" s="24">
        <v>3</v>
      </c>
    </row>
    <row r="1105" spans="1:3" x14ac:dyDescent="0.25">
      <c r="A1105">
        <v>1104</v>
      </c>
      <c r="B1105" t="s">
        <v>1148</v>
      </c>
      <c r="C1105" s="24">
        <v>1</v>
      </c>
    </row>
    <row r="1106" spans="1:3" x14ac:dyDescent="0.25">
      <c r="A1106">
        <v>1105</v>
      </c>
      <c r="B1106" t="s">
        <v>1149</v>
      </c>
      <c r="C1106" s="24">
        <v>4</v>
      </c>
    </row>
    <row r="1107" spans="1:3" x14ac:dyDescent="0.25">
      <c r="A1107">
        <v>1106</v>
      </c>
      <c r="B1107" t="s">
        <v>1150</v>
      </c>
      <c r="C1107" s="24">
        <v>1</v>
      </c>
    </row>
    <row r="1108" spans="1:3" x14ac:dyDescent="0.25">
      <c r="A1108">
        <v>1107</v>
      </c>
      <c r="B1108" t="s">
        <v>1151</v>
      </c>
      <c r="C1108" s="24">
        <v>4</v>
      </c>
    </row>
    <row r="1109" spans="1:3" x14ac:dyDescent="0.25">
      <c r="A1109">
        <v>1108</v>
      </c>
      <c r="B1109" t="s">
        <v>1152</v>
      </c>
      <c r="C1109" s="24">
        <v>1</v>
      </c>
    </row>
    <row r="1110" spans="1:3" x14ac:dyDescent="0.25">
      <c r="A1110">
        <v>1109</v>
      </c>
      <c r="B1110" t="s">
        <v>1153</v>
      </c>
      <c r="C1110" s="24">
        <v>6</v>
      </c>
    </row>
    <row r="1111" spans="1:3" x14ac:dyDescent="0.25">
      <c r="A1111">
        <v>1110</v>
      </c>
      <c r="B1111" t="s">
        <v>1154</v>
      </c>
      <c r="C1111" s="24">
        <v>1</v>
      </c>
    </row>
    <row r="1112" spans="1:3" x14ac:dyDescent="0.25">
      <c r="A1112">
        <v>1111</v>
      </c>
      <c r="B1112" t="s">
        <v>1155</v>
      </c>
      <c r="C1112" s="24">
        <v>4</v>
      </c>
    </row>
    <row r="1113" spans="1:3" x14ac:dyDescent="0.25">
      <c r="A1113">
        <v>1112</v>
      </c>
      <c r="B1113" t="s">
        <v>1156</v>
      </c>
      <c r="C1113" s="24">
        <v>1</v>
      </c>
    </row>
    <row r="1114" spans="1:3" x14ac:dyDescent="0.25">
      <c r="A1114">
        <v>1113</v>
      </c>
      <c r="B1114" t="s">
        <v>1157</v>
      </c>
      <c r="C1114" s="24">
        <v>5</v>
      </c>
    </row>
    <row r="1115" spans="1:3" x14ac:dyDescent="0.25">
      <c r="A1115">
        <v>1114</v>
      </c>
      <c r="B1115" t="s">
        <v>1158</v>
      </c>
      <c r="C1115" s="24">
        <v>1</v>
      </c>
    </row>
    <row r="1116" spans="1:3" x14ac:dyDescent="0.25">
      <c r="A1116">
        <v>1115</v>
      </c>
      <c r="B1116" t="s">
        <v>1159</v>
      </c>
      <c r="C1116" s="24">
        <v>6</v>
      </c>
    </row>
    <row r="1117" spans="1:3" x14ac:dyDescent="0.25">
      <c r="A1117">
        <v>1116</v>
      </c>
      <c r="B1117" t="s">
        <v>1160</v>
      </c>
      <c r="C1117" s="24">
        <v>1</v>
      </c>
    </row>
    <row r="1118" spans="1:3" x14ac:dyDescent="0.25">
      <c r="A1118">
        <v>1117</v>
      </c>
      <c r="B1118" t="s">
        <v>1161</v>
      </c>
      <c r="C1118" s="24">
        <v>2</v>
      </c>
    </row>
    <row r="1119" spans="1:3" x14ac:dyDescent="0.25">
      <c r="A1119">
        <v>1118</v>
      </c>
      <c r="B1119" t="s">
        <v>1162</v>
      </c>
      <c r="C1119" s="24">
        <v>5</v>
      </c>
    </row>
    <row r="1120" spans="1:3" x14ac:dyDescent="0.25">
      <c r="A1120">
        <v>1119</v>
      </c>
      <c r="B1120" t="s">
        <v>1163</v>
      </c>
      <c r="C1120" s="24">
        <v>5</v>
      </c>
    </row>
    <row r="1121" spans="1:3" x14ac:dyDescent="0.25">
      <c r="A1121">
        <v>1120</v>
      </c>
      <c r="B1121" t="s">
        <v>1164</v>
      </c>
      <c r="C1121" s="24">
        <v>1</v>
      </c>
    </row>
    <row r="1122" spans="1:3" x14ac:dyDescent="0.25">
      <c r="A1122">
        <v>1121</v>
      </c>
      <c r="B1122" t="s">
        <v>1165</v>
      </c>
      <c r="C1122" s="24">
        <v>1</v>
      </c>
    </row>
    <row r="1123" spans="1:3" x14ac:dyDescent="0.25">
      <c r="A1123">
        <v>1122</v>
      </c>
      <c r="B1123" t="s">
        <v>1166</v>
      </c>
      <c r="C1123" s="24">
        <v>1</v>
      </c>
    </row>
    <row r="1124" spans="1:3" x14ac:dyDescent="0.25">
      <c r="A1124">
        <v>1123</v>
      </c>
      <c r="B1124" t="s">
        <v>1167</v>
      </c>
      <c r="C1124" s="24">
        <v>1</v>
      </c>
    </row>
    <row r="1125" spans="1:3" x14ac:dyDescent="0.25">
      <c r="A1125">
        <v>1124</v>
      </c>
      <c r="B1125" t="s">
        <v>1168</v>
      </c>
      <c r="C1125" s="24">
        <v>1</v>
      </c>
    </row>
    <row r="1126" spans="1:3" x14ac:dyDescent="0.25">
      <c r="A1126">
        <v>1125</v>
      </c>
      <c r="B1126" t="s">
        <v>1169</v>
      </c>
      <c r="C1126" s="24">
        <v>1</v>
      </c>
    </row>
    <row r="1127" spans="1:3" x14ac:dyDescent="0.25">
      <c r="A1127">
        <v>1126</v>
      </c>
      <c r="B1127" t="s">
        <v>1170</v>
      </c>
      <c r="C1127" s="24">
        <v>1</v>
      </c>
    </row>
    <row r="1128" spans="1:3" x14ac:dyDescent="0.25">
      <c r="A1128">
        <v>1127</v>
      </c>
      <c r="B1128" t="s">
        <v>1171</v>
      </c>
      <c r="C1128" s="24">
        <v>1</v>
      </c>
    </row>
    <row r="1129" spans="1:3" x14ac:dyDescent="0.25">
      <c r="A1129">
        <v>1128</v>
      </c>
      <c r="B1129" t="s">
        <v>1172</v>
      </c>
      <c r="C1129" s="24">
        <v>3</v>
      </c>
    </row>
    <row r="1130" spans="1:3" x14ac:dyDescent="0.25">
      <c r="A1130">
        <v>1129</v>
      </c>
      <c r="B1130" t="s">
        <v>1173</v>
      </c>
      <c r="C1130" s="24">
        <v>1</v>
      </c>
    </row>
    <row r="1131" spans="1:3" x14ac:dyDescent="0.25">
      <c r="A1131">
        <v>1130</v>
      </c>
      <c r="B1131" t="s">
        <v>1174</v>
      </c>
      <c r="C1131" s="24">
        <v>1</v>
      </c>
    </row>
    <row r="1132" spans="1:3" x14ac:dyDescent="0.25">
      <c r="A1132">
        <v>1131</v>
      </c>
      <c r="B1132" t="s">
        <v>1175</v>
      </c>
      <c r="C1132" s="24">
        <v>1</v>
      </c>
    </row>
    <row r="1133" spans="1:3" x14ac:dyDescent="0.25">
      <c r="A1133">
        <v>1132</v>
      </c>
      <c r="B1133" t="s">
        <v>1176</v>
      </c>
      <c r="C1133" s="24">
        <v>2</v>
      </c>
    </row>
    <row r="1134" spans="1:3" x14ac:dyDescent="0.25">
      <c r="A1134">
        <v>1133</v>
      </c>
      <c r="B1134" t="s">
        <v>1177</v>
      </c>
      <c r="C1134" s="24">
        <v>1</v>
      </c>
    </row>
    <row r="1135" spans="1:3" x14ac:dyDescent="0.25">
      <c r="A1135">
        <v>1134</v>
      </c>
      <c r="B1135" t="s">
        <v>1178</v>
      </c>
      <c r="C1135" s="24">
        <v>1</v>
      </c>
    </row>
    <row r="1136" spans="1:3" x14ac:dyDescent="0.25">
      <c r="A1136">
        <v>1135</v>
      </c>
      <c r="B1136" t="s">
        <v>1179</v>
      </c>
      <c r="C1136" s="24">
        <v>1</v>
      </c>
    </row>
    <row r="1137" spans="1:3" x14ac:dyDescent="0.25">
      <c r="A1137">
        <v>1136</v>
      </c>
      <c r="B1137" t="s">
        <v>1180</v>
      </c>
      <c r="C1137" s="24">
        <v>6</v>
      </c>
    </row>
    <row r="1138" spans="1:3" x14ac:dyDescent="0.25">
      <c r="A1138">
        <v>1137</v>
      </c>
      <c r="B1138" t="s">
        <v>1181</v>
      </c>
      <c r="C1138" s="24">
        <v>1</v>
      </c>
    </row>
    <row r="1139" spans="1:3" x14ac:dyDescent="0.25">
      <c r="A1139">
        <v>1138</v>
      </c>
      <c r="B1139" t="s">
        <v>1182</v>
      </c>
      <c r="C1139" s="24">
        <v>1</v>
      </c>
    </row>
    <row r="1140" spans="1:3" x14ac:dyDescent="0.25">
      <c r="A1140">
        <v>1139</v>
      </c>
      <c r="B1140" t="s">
        <v>1183</v>
      </c>
      <c r="C1140" s="24">
        <v>1</v>
      </c>
    </row>
    <row r="1141" spans="1:3" x14ac:dyDescent="0.25">
      <c r="A1141">
        <v>1140</v>
      </c>
      <c r="B1141" t="s">
        <v>1184</v>
      </c>
      <c r="C1141" s="24">
        <v>3</v>
      </c>
    </row>
    <row r="1142" spans="1:3" x14ac:dyDescent="0.25">
      <c r="A1142">
        <v>1141</v>
      </c>
      <c r="B1142" t="s">
        <v>1185</v>
      </c>
      <c r="C1142" s="24">
        <v>5</v>
      </c>
    </row>
    <row r="1143" spans="1:3" x14ac:dyDescent="0.25">
      <c r="A1143">
        <v>1142</v>
      </c>
      <c r="B1143" t="s">
        <v>1186</v>
      </c>
      <c r="C1143" s="24">
        <v>1</v>
      </c>
    </row>
    <row r="1144" spans="1:3" x14ac:dyDescent="0.25">
      <c r="A1144">
        <v>1143</v>
      </c>
      <c r="B1144" t="s">
        <v>1187</v>
      </c>
      <c r="C1144" s="24">
        <v>1</v>
      </c>
    </row>
    <row r="1145" spans="1:3" x14ac:dyDescent="0.25">
      <c r="A1145">
        <v>1144</v>
      </c>
      <c r="B1145" t="s">
        <v>1188</v>
      </c>
      <c r="C1145" s="24">
        <v>4</v>
      </c>
    </row>
    <row r="1146" spans="1:3" x14ac:dyDescent="0.25">
      <c r="A1146">
        <v>1145</v>
      </c>
      <c r="B1146" t="s">
        <v>1189</v>
      </c>
      <c r="C1146" s="24">
        <v>1</v>
      </c>
    </row>
    <row r="1147" spans="1:3" x14ac:dyDescent="0.25">
      <c r="A1147">
        <v>1146</v>
      </c>
      <c r="B1147" t="s">
        <v>1190</v>
      </c>
      <c r="C1147" s="24">
        <v>1</v>
      </c>
    </row>
    <row r="1148" spans="1:3" x14ac:dyDescent="0.25">
      <c r="A1148">
        <v>1147</v>
      </c>
      <c r="B1148" t="s">
        <v>1191</v>
      </c>
      <c r="C1148" s="24">
        <v>1</v>
      </c>
    </row>
    <row r="1149" spans="1:3" x14ac:dyDescent="0.25">
      <c r="A1149">
        <v>1148</v>
      </c>
      <c r="B1149" t="s">
        <v>1192</v>
      </c>
      <c r="C1149" s="24">
        <v>1</v>
      </c>
    </row>
    <row r="1150" spans="1:3" x14ac:dyDescent="0.25">
      <c r="A1150">
        <v>1149</v>
      </c>
      <c r="B1150" t="s">
        <v>1193</v>
      </c>
      <c r="C1150" s="24">
        <v>1</v>
      </c>
    </row>
    <row r="1151" spans="1:3" x14ac:dyDescent="0.25">
      <c r="A1151">
        <v>1150</v>
      </c>
      <c r="B1151" t="s">
        <v>1194</v>
      </c>
      <c r="C1151" s="24">
        <v>1</v>
      </c>
    </row>
    <row r="1152" spans="1:3" x14ac:dyDescent="0.25">
      <c r="A1152">
        <v>1151</v>
      </c>
      <c r="B1152" t="s">
        <v>1195</v>
      </c>
      <c r="C1152" s="24">
        <v>4</v>
      </c>
    </row>
    <row r="1153" spans="1:3" x14ac:dyDescent="0.25">
      <c r="A1153">
        <v>1152</v>
      </c>
      <c r="B1153" t="s">
        <v>1196</v>
      </c>
      <c r="C1153" s="24">
        <v>5</v>
      </c>
    </row>
    <row r="1154" spans="1:3" x14ac:dyDescent="0.25">
      <c r="A1154">
        <v>1153</v>
      </c>
      <c r="B1154" t="s">
        <v>1197</v>
      </c>
      <c r="C1154" s="24">
        <v>1</v>
      </c>
    </row>
    <row r="1155" spans="1:3" x14ac:dyDescent="0.25">
      <c r="A1155">
        <v>1154</v>
      </c>
      <c r="B1155" t="s">
        <v>1198</v>
      </c>
      <c r="C1155" s="24">
        <v>2</v>
      </c>
    </row>
    <row r="1156" spans="1:3" x14ac:dyDescent="0.25">
      <c r="A1156">
        <v>1155</v>
      </c>
      <c r="B1156" t="s">
        <v>1199</v>
      </c>
      <c r="C1156" s="24">
        <v>4</v>
      </c>
    </row>
    <row r="1157" spans="1:3" x14ac:dyDescent="0.25">
      <c r="A1157">
        <v>1156</v>
      </c>
      <c r="B1157" t="s">
        <v>1200</v>
      </c>
      <c r="C1157" s="24">
        <v>1</v>
      </c>
    </row>
    <row r="1158" spans="1:3" x14ac:dyDescent="0.25">
      <c r="A1158">
        <v>1157</v>
      </c>
      <c r="B1158" t="s">
        <v>1201</v>
      </c>
      <c r="C1158" s="24">
        <v>3</v>
      </c>
    </row>
    <row r="1159" spans="1:3" x14ac:dyDescent="0.25">
      <c r="A1159">
        <v>1158</v>
      </c>
      <c r="B1159" t="s">
        <v>1202</v>
      </c>
      <c r="C1159" s="24">
        <v>2</v>
      </c>
    </row>
    <row r="1160" spans="1:3" x14ac:dyDescent="0.25">
      <c r="A1160">
        <v>1159</v>
      </c>
      <c r="B1160" t="s">
        <v>1203</v>
      </c>
      <c r="C1160" s="24">
        <v>5</v>
      </c>
    </row>
    <row r="1161" spans="1:3" x14ac:dyDescent="0.25">
      <c r="A1161">
        <v>1160</v>
      </c>
      <c r="B1161" t="s">
        <v>1204</v>
      </c>
      <c r="C1161" s="24">
        <v>2</v>
      </c>
    </row>
    <row r="1162" spans="1:3" x14ac:dyDescent="0.25">
      <c r="A1162">
        <v>1161</v>
      </c>
      <c r="B1162" t="s">
        <v>1205</v>
      </c>
      <c r="C1162" s="24">
        <v>1</v>
      </c>
    </row>
    <row r="1163" spans="1:3" x14ac:dyDescent="0.25">
      <c r="A1163">
        <v>1162</v>
      </c>
      <c r="B1163" t="s">
        <v>1206</v>
      </c>
      <c r="C1163" s="24">
        <v>2</v>
      </c>
    </row>
    <row r="1164" spans="1:3" x14ac:dyDescent="0.25">
      <c r="A1164">
        <v>1163</v>
      </c>
      <c r="B1164" t="s">
        <v>1207</v>
      </c>
      <c r="C1164" s="24">
        <v>5</v>
      </c>
    </row>
    <row r="1165" spans="1:3" x14ac:dyDescent="0.25">
      <c r="A1165">
        <v>1164</v>
      </c>
      <c r="B1165" t="s">
        <v>1208</v>
      </c>
      <c r="C1165" s="24">
        <v>1</v>
      </c>
    </row>
    <row r="1166" spans="1:3" x14ac:dyDescent="0.25">
      <c r="A1166">
        <v>1165</v>
      </c>
      <c r="B1166" t="s">
        <v>1209</v>
      </c>
      <c r="C1166" s="24">
        <v>1</v>
      </c>
    </row>
    <row r="1167" spans="1:3" x14ac:dyDescent="0.25">
      <c r="A1167">
        <v>1166</v>
      </c>
      <c r="B1167" t="s">
        <v>1210</v>
      </c>
      <c r="C1167" s="24">
        <v>2</v>
      </c>
    </row>
    <row r="1168" spans="1:3" x14ac:dyDescent="0.25">
      <c r="A1168">
        <v>1167</v>
      </c>
      <c r="B1168" t="s">
        <v>1211</v>
      </c>
      <c r="C1168" s="24">
        <v>2</v>
      </c>
    </row>
    <row r="1169" spans="1:3" x14ac:dyDescent="0.25">
      <c r="A1169">
        <v>1168</v>
      </c>
      <c r="B1169" t="s">
        <v>1212</v>
      </c>
      <c r="C1169" s="24">
        <v>5</v>
      </c>
    </row>
    <row r="1170" spans="1:3" x14ac:dyDescent="0.25">
      <c r="A1170">
        <v>1169</v>
      </c>
      <c r="B1170" t="s">
        <v>1213</v>
      </c>
      <c r="C1170" s="24">
        <v>5</v>
      </c>
    </row>
    <row r="1171" spans="1:3" x14ac:dyDescent="0.25">
      <c r="A1171">
        <v>1170</v>
      </c>
      <c r="B1171" t="s">
        <v>1214</v>
      </c>
      <c r="C1171" s="24">
        <v>1</v>
      </c>
    </row>
    <row r="1172" spans="1:3" x14ac:dyDescent="0.25">
      <c r="A1172">
        <v>1171</v>
      </c>
      <c r="B1172" t="s">
        <v>1215</v>
      </c>
      <c r="C1172" s="24">
        <v>2</v>
      </c>
    </row>
    <row r="1173" spans="1:3" x14ac:dyDescent="0.25">
      <c r="A1173">
        <v>1172</v>
      </c>
      <c r="B1173" t="s">
        <v>1216</v>
      </c>
      <c r="C1173" s="24">
        <v>6</v>
      </c>
    </row>
    <row r="1174" spans="1:3" x14ac:dyDescent="0.25">
      <c r="A1174">
        <v>1173</v>
      </c>
      <c r="B1174" t="s">
        <v>1217</v>
      </c>
      <c r="C1174" s="24">
        <v>1</v>
      </c>
    </row>
    <row r="1175" spans="1:3" x14ac:dyDescent="0.25">
      <c r="A1175">
        <v>1174</v>
      </c>
      <c r="B1175" t="s">
        <v>1218</v>
      </c>
      <c r="C1175" s="24">
        <v>1</v>
      </c>
    </row>
    <row r="1176" spans="1:3" x14ac:dyDescent="0.25">
      <c r="A1176">
        <v>1175</v>
      </c>
      <c r="B1176" t="s">
        <v>1219</v>
      </c>
      <c r="C1176" s="24">
        <v>3</v>
      </c>
    </row>
    <row r="1177" spans="1:3" x14ac:dyDescent="0.25">
      <c r="A1177">
        <v>1176</v>
      </c>
      <c r="B1177" t="s">
        <v>1220</v>
      </c>
      <c r="C1177" s="24">
        <v>1</v>
      </c>
    </row>
    <row r="1178" spans="1:3" x14ac:dyDescent="0.25">
      <c r="A1178">
        <v>1177</v>
      </c>
      <c r="B1178" t="s">
        <v>1221</v>
      </c>
      <c r="C1178" s="24">
        <v>1</v>
      </c>
    </row>
    <row r="1179" spans="1:3" x14ac:dyDescent="0.25">
      <c r="A1179">
        <v>1178</v>
      </c>
      <c r="B1179" t="s">
        <v>1222</v>
      </c>
      <c r="C1179" s="24">
        <v>1</v>
      </c>
    </row>
    <row r="1180" spans="1:3" x14ac:dyDescent="0.25">
      <c r="A1180">
        <v>1179</v>
      </c>
      <c r="B1180" t="s">
        <v>1223</v>
      </c>
      <c r="C1180" s="24">
        <v>1</v>
      </c>
    </row>
    <row r="1181" spans="1:3" x14ac:dyDescent="0.25">
      <c r="A1181">
        <v>1180</v>
      </c>
      <c r="B1181" t="s">
        <v>1224</v>
      </c>
      <c r="C1181" s="24">
        <v>4</v>
      </c>
    </row>
    <row r="1182" spans="1:3" x14ac:dyDescent="0.25">
      <c r="A1182">
        <v>1181</v>
      </c>
      <c r="B1182" t="s">
        <v>1225</v>
      </c>
      <c r="C1182" s="24">
        <v>1</v>
      </c>
    </row>
    <row r="1183" spans="1:3" x14ac:dyDescent="0.25">
      <c r="A1183">
        <v>1182</v>
      </c>
      <c r="B1183" t="s">
        <v>1226</v>
      </c>
      <c r="C1183" s="24">
        <v>1</v>
      </c>
    </row>
    <row r="1184" spans="1:3" x14ac:dyDescent="0.25">
      <c r="A1184">
        <v>1183</v>
      </c>
      <c r="B1184" t="s">
        <v>1227</v>
      </c>
      <c r="C1184" s="24">
        <v>1</v>
      </c>
    </row>
    <row r="1185" spans="1:3" x14ac:dyDescent="0.25">
      <c r="A1185">
        <v>1184</v>
      </c>
      <c r="B1185" t="s">
        <v>1228</v>
      </c>
      <c r="C1185" s="24">
        <v>5</v>
      </c>
    </row>
    <row r="1186" spans="1:3" x14ac:dyDescent="0.25">
      <c r="A1186">
        <v>1185</v>
      </c>
      <c r="B1186" t="s">
        <v>1229</v>
      </c>
      <c r="C1186" s="24">
        <v>1</v>
      </c>
    </row>
    <row r="1187" spans="1:3" x14ac:dyDescent="0.25">
      <c r="A1187">
        <v>1186</v>
      </c>
      <c r="B1187" t="s">
        <v>1230</v>
      </c>
      <c r="C1187" s="24">
        <v>1</v>
      </c>
    </row>
    <row r="1188" spans="1:3" x14ac:dyDescent="0.25">
      <c r="A1188">
        <v>1187</v>
      </c>
      <c r="B1188" t="s">
        <v>1231</v>
      </c>
      <c r="C1188" s="24">
        <v>5</v>
      </c>
    </row>
    <row r="1189" spans="1:3" x14ac:dyDescent="0.25">
      <c r="A1189">
        <v>1188</v>
      </c>
      <c r="B1189" t="s">
        <v>1232</v>
      </c>
      <c r="C1189" s="24">
        <v>1</v>
      </c>
    </row>
    <row r="1190" spans="1:3" x14ac:dyDescent="0.25">
      <c r="A1190">
        <v>1189</v>
      </c>
      <c r="B1190" t="s">
        <v>1233</v>
      </c>
      <c r="C1190" s="24">
        <v>4</v>
      </c>
    </row>
    <row r="1191" spans="1:3" x14ac:dyDescent="0.25">
      <c r="A1191">
        <v>1190</v>
      </c>
      <c r="B1191" t="s">
        <v>1234</v>
      </c>
      <c r="C1191" s="24">
        <v>1</v>
      </c>
    </row>
    <row r="1192" spans="1:3" x14ac:dyDescent="0.25">
      <c r="A1192">
        <v>1191</v>
      </c>
      <c r="B1192" t="s">
        <v>1235</v>
      </c>
      <c r="C1192" s="24">
        <v>5</v>
      </c>
    </row>
    <row r="1193" spans="1:3" x14ac:dyDescent="0.25">
      <c r="A1193">
        <v>1192</v>
      </c>
      <c r="B1193" t="s">
        <v>1236</v>
      </c>
      <c r="C1193" s="24">
        <v>1</v>
      </c>
    </row>
    <row r="1194" spans="1:3" x14ac:dyDescent="0.25">
      <c r="A1194">
        <v>1193</v>
      </c>
      <c r="B1194" t="s">
        <v>1237</v>
      </c>
      <c r="C1194" s="24">
        <v>1</v>
      </c>
    </row>
    <row r="1195" spans="1:3" x14ac:dyDescent="0.25">
      <c r="A1195">
        <v>1194</v>
      </c>
      <c r="B1195" t="s">
        <v>1238</v>
      </c>
      <c r="C1195" s="24">
        <v>2</v>
      </c>
    </row>
    <row r="1196" spans="1:3" x14ac:dyDescent="0.25">
      <c r="A1196">
        <v>1195</v>
      </c>
      <c r="B1196" t="s">
        <v>1239</v>
      </c>
      <c r="C1196" s="24">
        <v>1</v>
      </c>
    </row>
    <row r="1197" spans="1:3" x14ac:dyDescent="0.25">
      <c r="A1197">
        <v>1196</v>
      </c>
      <c r="B1197" t="s">
        <v>1240</v>
      </c>
      <c r="C1197" s="24">
        <v>3</v>
      </c>
    </row>
  </sheetData>
  <pageMargins left="0.7" right="0.7" top="0.75" bottom="0.75" header="0.3" footer="0.3"/>
  <pageSetup paperSize="9" orientation="portrait" horizontalDpi="4294967293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"/>
  </sheetPr>
  <dimension ref="A1:M1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8" customWidth="1"/>
    <col min="2" max="2" width="42" customWidth="1"/>
    <col min="3" max="3" width="10" customWidth="1"/>
    <col min="4" max="4" width="12" customWidth="1"/>
    <col min="5" max="5" width="3" customWidth="1"/>
    <col min="6" max="6" width="8" customWidth="1"/>
    <col min="7" max="7" width="34" customWidth="1"/>
    <col min="8" max="8" width="10" customWidth="1"/>
    <col min="9" max="9" width="12" customWidth="1"/>
    <col min="10" max="11" width="10" customWidth="1"/>
    <col min="12" max="13" width="12" customWidth="1"/>
  </cols>
  <sheetData>
    <row r="1" spans="1:13" x14ac:dyDescent="0.25">
      <c r="A1" s="27" t="s">
        <v>34</v>
      </c>
      <c r="B1" s="27" t="s">
        <v>35</v>
      </c>
      <c r="C1" s="27" t="s">
        <v>36</v>
      </c>
      <c r="D1" s="27" t="s">
        <v>1241</v>
      </c>
      <c r="F1" s="28" t="s">
        <v>1242</v>
      </c>
      <c r="G1" s="28"/>
      <c r="H1" s="28"/>
      <c r="I1" s="28"/>
      <c r="J1" s="28"/>
      <c r="K1" s="28"/>
      <c r="L1" s="28"/>
      <c r="M1" s="28"/>
    </row>
    <row r="2" spans="1:13" x14ac:dyDescent="0.25">
      <c r="A2" s="29">
        <v>587</v>
      </c>
      <c r="B2" t="s">
        <v>631</v>
      </c>
      <c r="C2" s="29">
        <v>1</v>
      </c>
      <c r="D2" s="29">
        <v>3</v>
      </c>
      <c r="F2" s="6" t="s">
        <v>9</v>
      </c>
      <c r="G2" s="6"/>
      <c r="H2" s="6"/>
      <c r="I2" t="s">
        <v>1243</v>
      </c>
      <c r="J2"/>
      <c r="K2"/>
      <c r="L2"/>
      <c r="M2"/>
    </row>
    <row r="3" spans="1:13" x14ac:dyDescent="0.25">
      <c r="A3" s="29">
        <v>85</v>
      </c>
      <c r="B3" t="s">
        <v>129</v>
      </c>
      <c r="C3" s="29">
        <v>1</v>
      </c>
      <c r="D3" s="29">
        <v>5</v>
      </c>
      <c r="F3" s="30" t="s">
        <v>1244</v>
      </c>
      <c r="G3" s="30"/>
      <c r="H3" s="30"/>
      <c r="I3" s="30"/>
      <c r="J3" s="30"/>
      <c r="K3" s="30"/>
      <c r="L3" s="30"/>
      <c r="M3" s="30"/>
    </row>
    <row r="4" spans="1:4" x14ac:dyDescent="0.25">
      <c r="A4" s="29">
        <v>595</v>
      </c>
      <c r="B4" t="s">
        <v>639</v>
      </c>
      <c r="C4" s="29">
        <v>1</v>
      </c>
      <c r="D4" s="29">
        <v>6</v>
      </c>
    </row>
    <row r="5" spans="1:11" x14ac:dyDescent="0.25">
      <c r="A5" s="29">
        <v>957</v>
      </c>
      <c r="B5" t="s">
        <v>1001</v>
      </c>
      <c r="C5" s="29">
        <v>2</v>
      </c>
      <c r="D5" s="29">
        <v>7</v>
      </c>
      <c r="F5" s="31" t="s">
        <v>12</v>
      </c>
      <c r="G5" s="32"/>
      <c r="H5" s="32"/>
      <c r="I5" s="33" t="s">
        <v>13</v>
      </c>
      <c r="J5" s="34">
        <f>Actividad!M15</f>
        <v>1196</v>
      </c>
      <c r="K5" s="33"/>
    </row>
    <row r="6" spans="1:13" x14ac:dyDescent="0.25">
      <c r="A6" s="29">
        <v>292</v>
      </c>
      <c r="B6" t="s">
        <v>336</v>
      </c>
      <c r="C6" s="29">
        <v>2</v>
      </c>
      <c r="D6" s="29">
        <v>10</v>
      </c>
      <c r="F6" s="31" t="s">
        <v>14</v>
      </c>
      <c r="G6" s="32"/>
      <c r="H6" s="32"/>
      <c r="I6" s="33" t="s">
        <v>15</v>
      </c>
      <c r="J6" s="35">
        <f>Actividad!M16</f>
        <v>0.9</v>
      </c>
      <c r="K6" s="33"/>
      <c r="L6" s="33" t="s">
        <v>16</v>
      </c>
      <c r="M6" s="36">
        <f>Actividad!P16</f>
        <v>1.64485362695147</v>
      </c>
    </row>
    <row r="7" spans="1:11" x14ac:dyDescent="0.25">
      <c r="A7" s="29">
        <v>250</v>
      </c>
      <c r="B7" t="s">
        <v>294</v>
      </c>
      <c r="C7" s="29">
        <v>1</v>
      </c>
      <c r="D7" s="29">
        <v>11</v>
      </c>
      <c r="F7" s="31" t="s">
        <v>20</v>
      </c>
      <c r="G7" s="32"/>
      <c r="H7" s="32"/>
      <c r="I7" s="33" t="s">
        <v>21</v>
      </c>
      <c r="J7" s="37">
        <f>Actividad!M17</f>
        <v>0.08</v>
      </c>
      <c r="K7" s="33"/>
    </row>
    <row r="8" spans="1:11" x14ac:dyDescent="0.25">
      <c r="A8" s="29">
        <v>977</v>
      </c>
      <c r="B8" t="s">
        <v>1021</v>
      </c>
      <c r="C8" s="29">
        <v>1</v>
      </c>
      <c r="D8" s="29">
        <v>11</v>
      </c>
      <c r="F8" s="31" t="s">
        <v>24</v>
      </c>
      <c r="G8" s="32"/>
      <c r="H8" s="32"/>
      <c r="I8" s="33" t="s">
        <v>24</v>
      </c>
      <c r="J8" s="37">
        <f>Actividad!M18</f>
        <v>0.85</v>
      </c>
      <c r="K8" s="33"/>
    </row>
    <row r="9" spans="1:11" x14ac:dyDescent="0.25">
      <c r="A9" s="29">
        <v>223</v>
      </c>
      <c r="B9" t="s">
        <v>267</v>
      </c>
      <c r="C9" s="29">
        <v>1</v>
      </c>
      <c r="D9" s="29">
        <v>12</v>
      </c>
      <c r="F9" s="31" t="s">
        <v>28</v>
      </c>
      <c r="G9" s="32"/>
      <c r="H9" s="32"/>
      <c r="I9" s="33" t="s">
        <v>28</v>
      </c>
      <c r="J9" s="37">
        <f>Actividad!M19</f>
        <v>0.15000000000000002</v>
      </c>
      <c r="K9" s="33"/>
    </row>
    <row r="10" spans="1:11" x14ac:dyDescent="0.25">
      <c r="A10" s="29">
        <v>372</v>
      </c>
      <c r="B10" t="s">
        <v>416</v>
      </c>
      <c r="C10" s="29">
        <v>2</v>
      </c>
      <c r="D10" s="29">
        <v>16</v>
      </c>
      <c r="F10" s="31" t="s">
        <v>29</v>
      </c>
      <c r="G10" s="32"/>
      <c r="H10" s="32"/>
      <c r="I10" s="33" t="s">
        <v>30</v>
      </c>
      <c r="J10" s="38">
        <f>Actividad!M20</f>
        <v>51.61648337830039</v>
      </c>
      <c r="K10" s="17">
        <f>Actividad!N20</f>
        <v>52</v>
      </c>
    </row>
    <row r="11" spans="1:4" x14ac:dyDescent="0.25">
      <c r="A11" s="29">
        <v>121</v>
      </c>
      <c r="B11" t="s">
        <v>165</v>
      </c>
      <c r="C11" s="29">
        <v>1</v>
      </c>
      <c r="D11" s="29">
        <v>17</v>
      </c>
    </row>
    <row r="12" spans="1:6" x14ac:dyDescent="0.25">
      <c r="A12" s="29">
        <v>890</v>
      </c>
      <c r="B12" t="s">
        <v>934</v>
      </c>
      <c r="C12" s="29">
        <v>1</v>
      </c>
      <c r="D12" s="29">
        <v>23</v>
      </c>
      <c r="F12" s="39" t="s">
        <v>1245</v>
      </c>
    </row>
    <row r="13" spans="1:9" x14ac:dyDescent="0.25">
      <c r="A13" s="29">
        <v>349</v>
      </c>
      <c r="B13" t="s">
        <v>393</v>
      </c>
      <c r="C13" s="29">
        <v>2</v>
      </c>
      <c r="D13" s="29">
        <v>24</v>
      </c>
      <c r="F13" s="40" t="s">
        <v>1246</v>
      </c>
      <c r="G13" s="40" t="s">
        <v>35</v>
      </c>
      <c r="H13" s="40" t="s">
        <v>36</v>
      </c>
      <c r="I13" s="40" t="s">
        <v>1241</v>
      </c>
    </row>
    <row r="14" spans="1:9" x14ac:dyDescent="0.25">
      <c r="A14" s="29">
        <v>557</v>
      </c>
      <c r="B14" t="s">
        <v>601</v>
      </c>
      <c r="C14" s="29">
        <v>1</v>
      </c>
      <c r="D14" s="29">
        <v>25</v>
      </c>
      <c r="F14" s="41">
        <v>1</v>
      </c>
      <c r="G14" s="32" t="str">
        <f>B2</f>
        <v>CRUZ HUALLPA MARY LUZ</v>
      </c>
      <c r="H14" s="41">
        <f>C2</f>
        <v>1</v>
      </c>
      <c r="I14" s="41">
        <f>D2</f>
        <v>3</v>
      </c>
    </row>
    <row r="15" spans="1:9" x14ac:dyDescent="0.25">
      <c r="A15" s="29">
        <v>636</v>
      </c>
      <c r="B15" t="s">
        <v>680</v>
      </c>
      <c r="C15" s="29">
        <v>2</v>
      </c>
      <c r="D15" s="29">
        <v>25</v>
      </c>
      <c r="F15" s="41">
        <v>2</v>
      </c>
      <c r="G15" s="32" t="str">
        <f>B3</f>
        <v>AMERICA LIFE EIRL</v>
      </c>
      <c r="H15" s="41">
        <f>C3</f>
        <v>1</v>
      </c>
      <c r="I15" s="41">
        <f>D3</f>
        <v>5</v>
      </c>
    </row>
    <row r="16" spans="1:9" x14ac:dyDescent="0.25">
      <c r="A16" s="29">
        <v>74</v>
      </c>
      <c r="B16" t="s">
        <v>118</v>
      </c>
      <c r="C16" s="29">
        <v>3</v>
      </c>
      <c r="D16" s="29">
        <v>26</v>
      </c>
      <c r="F16" s="41">
        <v>3</v>
      </c>
      <c r="G16" s="32" t="str">
        <f>B4</f>
        <v>ORTEGA GARCIA ELBER</v>
      </c>
      <c r="H16" s="41">
        <f>C4</f>
        <v>1</v>
      </c>
      <c r="I16" s="41">
        <f>D4</f>
        <v>6</v>
      </c>
    </row>
    <row r="17" spans="1:9" x14ac:dyDescent="0.25">
      <c r="A17" s="29">
        <v>95</v>
      </c>
      <c r="B17" t="s">
        <v>139</v>
      </c>
      <c r="C17" s="29">
        <v>2</v>
      </c>
      <c r="D17" s="29">
        <v>26</v>
      </c>
      <c r="F17" s="41">
        <v>4</v>
      </c>
      <c r="G17" s="32" t="str">
        <f>B5</f>
        <v>KREA ILUSIONES LMA EIRL</v>
      </c>
      <c r="H17" s="41">
        <f>C5</f>
        <v>2</v>
      </c>
      <c r="I17" s="41">
        <f>D5</f>
        <v>7</v>
      </c>
    </row>
    <row r="18" spans="1:9" x14ac:dyDescent="0.25">
      <c r="A18" s="29">
        <v>267</v>
      </c>
      <c r="B18" t="s">
        <v>311</v>
      </c>
      <c r="C18" s="29">
        <v>1</v>
      </c>
      <c r="D18" s="29">
        <v>28</v>
      </c>
      <c r="F18" s="41">
        <v>5</v>
      </c>
      <c r="G18" s="32" t="str">
        <f>B6</f>
        <v>HUAMAN BUSTINZA JULIO</v>
      </c>
      <c r="H18" s="41">
        <f>C6</f>
        <v>2</v>
      </c>
      <c r="I18" s="41">
        <f>D6</f>
        <v>10</v>
      </c>
    </row>
    <row r="19" spans="1:9" x14ac:dyDescent="0.25">
      <c r="A19" s="29">
        <v>221</v>
      </c>
      <c r="B19" t="s">
        <v>265</v>
      </c>
      <c r="C19" s="29">
        <v>5</v>
      </c>
      <c r="D19" s="29">
        <v>31</v>
      </c>
      <c r="F19" s="41">
        <v>6</v>
      </c>
      <c r="G19" s="32" t="str">
        <f>B7</f>
        <v>EMPRESA PROVEEDORA EL SOL SRL</v>
      </c>
      <c r="H19" s="41">
        <f>C7</f>
        <v>1</v>
      </c>
      <c r="I19" s="41">
        <f>D7</f>
        <v>11</v>
      </c>
    </row>
    <row r="20" spans="1:9" x14ac:dyDescent="0.25">
      <c r="A20" s="29">
        <v>722</v>
      </c>
      <c r="B20" t="s">
        <v>766</v>
      </c>
      <c r="C20" s="29">
        <v>2</v>
      </c>
      <c r="D20" s="29">
        <v>33</v>
      </c>
      <c r="F20" s="41">
        <v>7</v>
      </c>
      <c r="G20" s="32" t="str">
        <f>B8</f>
        <v>FLORES GARAY DILMER</v>
      </c>
      <c r="H20" s="41">
        <f>C8</f>
        <v>1</v>
      </c>
      <c r="I20" s="41">
        <f>D8</f>
        <v>11</v>
      </c>
    </row>
    <row r="21" spans="1:9" x14ac:dyDescent="0.25">
      <c r="A21" s="29">
        <v>161</v>
      </c>
      <c r="B21" t="s">
        <v>205</v>
      </c>
      <c r="C21" s="29">
        <v>1</v>
      </c>
      <c r="D21" s="29">
        <v>34</v>
      </c>
      <c r="F21" s="41">
        <v>8</v>
      </c>
      <c r="G21" s="32" t="str">
        <f>B9</f>
        <v>COMERCIO INTERNACIONAL NACIONAL Y SERVIC IOS SRL</v>
      </c>
      <c r="H21" s="41">
        <f>C9</f>
        <v>1</v>
      </c>
      <c r="I21" s="41">
        <f>D9</f>
        <v>12</v>
      </c>
    </row>
    <row r="22" spans="1:9" x14ac:dyDescent="0.25">
      <c r="A22" s="29">
        <v>248</v>
      </c>
      <c r="B22" t="s">
        <v>292</v>
      </c>
      <c r="C22" s="29">
        <v>1</v>
      </c>
      <c r="D22" s="29">
        <v>34</v>
      </c>
      <c r="F22" s="41">
        <v>9</v>
      </c>
      <c r="G22" s="32" t="str">
        <f>B10</f>
        <v>SERVICIOS INDUSTRIALES F &amp; PJ YALO SAC</v>
      </c>
      <c r="H22" s="41">
        <f>C10</f>
        <v>2</v>
      </c>
      <c r="I22" s="41">
        <f>D10</f>
        <v>16</v>
      </c>
    </row>
    <row r="23" spans="1:9" x14ac:dyDescent="0.25">
      <c r="A23" s="29">
        <v>1012</v>
      </c>
      <c r="B23" t="s">
        <v>1056</v>
      </c>
      <c r="C23" s="29">
        <v>1</v>
      </c>
      <c r="D23" s="29">
        <v>38</v>
      </c>
      <c r="F23" s="41">
        <v>10</v>
      </c>
      <c r="G23" s="32" t="str">
        <f>B11</f>
        <v>CRUZ TITALO MAURO</v>
      </c>
      <c r="H23" s="41">
        <f>C11</f>
        <v>1</v>
      </c>
      <c r="I23" s="41">
        <f>D11</f>
        <v>17</v>
      </c>
    </row>
    <row r="24" spans="1:9" x14ac:dyDescent="0.25">
      <c r="A24" s="29">
        <v>1117</v>
      </c>
      <c r="B24" t="s">
        <v>1161</v>
      </c>
      <c r="C24" s="29">
        <v>2</v>
      </c>
      <c r="D24" s="29">
        <v>41</v>
      </c>
      <c r="F24" s="41">
        <v>11</v>
      </c>
      <c r="G24" s="32" t="str">
        <f>B12</f>
        <v>SIGNAAL INDUSTRIAL SAC</v>
      </c>
      <c r="H24" s="41">
        <f>C12</f>
        <v>1</v>
      </c>
      <c r="I24" s="41">
        <f>D12</f>
        <v>23</v>
      </c>
    </row>
    <row r="25" spans="1:9" x14ac:dyDescent="0.25">
      <c r="A25" s="29">
        <v>195</v>
      </c>
      <c r="B25" t="s">
        <v>239</v>
      </c>
      <c r="C25" s="29">
        <v>1</v>
      </c>
      <c r="D25" s="29">
        <v>43</v>
      </c>
      <c r="F25" s="41">
        <v>12</v>
      </c>
      <c r="G25" s="32" t="str">
        <f>B13</f>
        <v>SKY 19 EIRL</v>
      </c>
      <c r="H25" s="41">
        <f>C13</f>
        <v>2</v>
      </c>
      <c r="I25" s="41">
        <f>D13</f>
        <v>24</v>
      </c>
    </row>
    <row r="26" spans="1:9" x14ac:dyDescent="0.25">
      <c r="A26" s="29">
        <v>787</v>
      </c>
      <c r="B26" t="s">
        <v>831</v>
      </c>
      <c r="C26" s="29">
        <v>4</v>
      </c>
      <c r="D26" s="29">
        <v>44</v>
      </c>
      <c r="F26" s="41">
        <v>13</v>
      </c>
      <c r="G26" s="32" t="str">
        <f>B14</f>
        <v>CARDENAS DIAZ EFRAIN</v>
      </c>
      <c r="H26" s="41">
        <f>C14</f>
        <v>1</v>
      </c>
      <c r="I26" s="41">
        <f>D14</f>
        <v>25</v>
      </c>
    </row>
    <row r="27" spans="1:9" x14ac:dyDescent="0.25">
      <c r="A27" s="29">
        <v>1124</v>
      </c>
      <c r="B27" t="s">
        <v>1168</v>
      </c>
      <c r="C27" s="29">
        <v>1</v>
      </c>
      <c r="D27" s="29">
        <v>46</v>
      </c>
      <c r="F27" s="41">
        <v>14</v>
      </c>
      <c r="G27" s="32" t="str">
        <f>B15</f>
        <v>EDITORIAL VALOR EIRL</v>
      </c>
      <c r="H27" s="41">
        <f>C15</f>
        <v>2</v>
      </c>
      <c r="I27" s="41">
        <f>D15</f>
        <v>25</v>
      </c>
    </row>
    <row r="28" spans="1:9" x14ac:dyDescent="0.25">
      <c r="A28" s="29">
        <v>1189</v>
      </c>
      <c r="B28" t="s">
        <v>1233</v>
      </c>
      <c r="C28" s="29">
        <v>4</v>
      </c>
      <c r="D28" s="29">
        <v>48</v>
      </c>
      <c r="F28" s="41">
        <v>15</v>
      </c>
      <c r="G28" s="32" t="str">
        <f>B16</f>
        <v>SERVICIOS MULTIPLES  CORSA EIRL</v>
      </c>
      <c r="H28" s="41">
        <f>C16</f>
        <v>3</v>
      </c>
      <c r="I28" s="41">
        <f>D16</f>
        <v>26</v>
      </c>
    </row>
    <row r="29" spans="1:9" x14ac:dyDescent="0.25">
      <c r="A29" s="29">
        <v>470</v>
      </c>
      <c r="B29" t="s">
        <v>514</v>
      </c>
      <c r="C29" s="29">
        <v>1</v>
      </c>
      <c r="D29" s="29">
        <v>53</v>
      </c>
      <c r="F29" s="41">
        <v>16</v>
      </c>
      <c r="G29" s="32" t="str">
        <f>B17</f>
        <v>GUEVARA TORRES JESUS ELVIRA</v>
      </c>
      <c r="H29" s="41">
        <f>C17</f>
        <v>2</v>
      </c>
      <c r="I29" s="41">
        <f>D17</f>
        <v>26</v>
      </c>
    </row>
    <row r="30" spans="1:9" x14ac:dyDescent="0.25">
      <c r="A30" s="29">
        <v>176</v>
      </c>
      <c r="B30" t="s">
        <v>220</v>
      </c>
      <c r="C30" s="29">
        <v>1</v>
      </c>
      <c r="D30" s="29">
        <v>55</v>
      </c>
      <c r="F30" s="41">
        <v>17</v>
      </c>
      <c r="G30" s="32" t="str">
        <f>B18</f>
        <v>T &amp; F INTERNATIONAL  TRADING SRL</v>
      </c>
      <c r="H30" s="41">
        <f>C18</f>
        <v>1</v>
      </c>
      <c r="I30" s="41">
        <f>D18</f>
        <v>28</v>
      </c>
    </row>
    <row r="31" spans="1:9" x14ac:dyDescent="0.25">
      <c r="A31" s="29">
        <v>915</v>
      </c>
      <c r="B31" t="s">
        <v>959</v>
      </c>
      <c r="C31" s="29">
        <v>5</v>
      </c>
      <c r="D31" s="29">
        <v>56</v>
      </c>
      <c r="F31" s="41">
        <v>18</v>
      </c>
      <c r="G31" s="32" t="str">
        <f>B19</f>
        <v>GAMARRA MORALES HERNAN ERICK</v>
      </c>
      <c r="H31" s="41">
        <f>C19</f>
        <v>5</v>
      </c>
      <c r="I31" s="41">
        <f>D19</f>
        <v>31</v>
      </c>
    </row>
    <row r="32" spans="1:9" x14ac:dyDescent="0.25">
      <c r="A32" s="29">
        <v>310</v>
      </c>
      <c r="B32" t="s">
        <v>354</v>
      </c>
      <c r="C32" s="29">
        <v>1</v>
      </c>
      <c r="D32" s="29">
        <v>59</v>
      </c>
      <c r="F32" s="41">
        <v>19</v>
      </c>
      <c r="G32" s="32" t="str">
        <f>B20</f>
        <v>CORP CAMACHO SAC</v>
      </c>
      <c r="H32" s="41">
        <f>C20</f>
        <v>2</v>
      </c>
      <c r="I32" s="41">
        <f>D20</f>
        <v>33</v>
      </c>
    </row>
    <row r="33" spans="1:9" x14ac:dyDescent="0.25">
      <c r="A33" s="29">
        <v>414</v>
      </c>
      <c r="B33" t="s">
        <v>458</v>
      </c>
      <c r="C33" s="29">
        <v>2</v>
      </c>
      <c r="D33" s="29">
        <v>59</v>
      </c>
      <c r="F33" s="41">
        <v>20</v>
      </c>
      <c r="G33" s="32" t="str">
        <f>B21</f>
        <v>PINTO APAZA MARIA NORCA</v>
      </c>
      <c r="H33" s="41">
        <f>C21</f>
        <v>1</v>
      </c>
      <c r="I33" s="41">
        <f>D21</f>
        <v>34</v>
      </c>
    </row>
    <row r="34" spans="1:9" x14ac:dyDescent="0.25">
      <c r="A34" s="29">
        <v>409</v>
      </c>
      <c r="B34" t="s">
        <v>453</v>
      </c>
      <c r="C34" s="29">
        <v>1</v>
      </c>
      <c r="D34" s="29">
        <v>61</v>
      </c>
      <c r="F34" s="41">
        <v>21</v>
      </c>
      <c r="G34" s="32" t="str">
        <f>B22</f>
        <v>B &amp; W MASTER SERVICE SRL</v>
      </c>
      <c r="H34" s="41">
        <f>C22</f>
        <v>1</v>
      </c>
      <c r="I34" s="41">
        <f>D22</f>
        <v>34</v>
      </c>
    </row>
    <row r="35" spans="1:9" x14ac:dyDescent="0.25">
      <c r="A35" s="29">
        <v>524</v>
      </c>
      <c r="B35" t="s">
        <v>568</v>
      </c>
      <c r="C35" s="29">
        <v>1</v>
      </c>
      <c r="D35" s="29">
        <v>61</v>
      </c>
      <c r="F35" s="41">
        <v>22</v>
      </c>
      <c r="G35" s="32" t="str">
        <f>B23</f>
        <v>CORPORACION CONTEX SAC</v>
      </c>
      <c r="H35" s="41">
        <f>C23</f>
        <v>1</v>
      </c>
      <c r="I35" s="41">
        <f>D23</f>
        <v>38</v>
      </c>
    </row>
    <row r="36" spans="1:9" x14ac:dyDescent="0.25">
      <c r="A36" s="29">
        <v>621</v>
      </c>
      <c r="B36" t="s">
        <v>665</v>
      </c>
      <c r="C36" s="29">
        <v>2</v>
      </c>
      <c r="D36" s="29">
        <v>62</v>
      </c>
      <c r="F36" s="41">
        <v>23</v>
      </c>
      <c r="G36" s="32" t="str">
        <f>B24</f>
        <v>CORPORACION TIMALCO  SAC</v>
      </c>
      <c r="H36" s="41">
        <f>C24</f>
        <v>2</v>
      </c>
      <c r="I36" s="41">
        <f>D24</f>
        <v>41</v>
      </c>
    </row>
    <row r="37" spans="1:9" x14ac:dyDescent="0.25">
      <c r="A37" s="29">
        <v>17</v>
      </c>
      <c r="B37" t="s">
        <v>61</v>
      </c>
      <c r="C37" s="29">
        <v>2</v>
      </c>
      <c r="D37" s="29">
        <v>71</v>
      </c>
      <c r="F37" s="41">
        <v>24</v>
      </c>
      <c r="G37" s="32" t="str">
        <f>B25</f>
        <v>CONFECCIONES WILSS EIRL</v>
      </c>
      <c r="H37" s="41">
        <f>C25</f>
        <v>1</v>
      </c>
      <c r="I37" s="41">
        <f>D25</f>
        <v>43</v>
      </c>
    </row>
    <row r="38" spans="1:9" x14ac:dyDescent="0.25">
      <c r="A38" s="29">
        <v>845</v>
      </c>
      <c r="B38" t="s">
        <v>889</v>
      </c>
      <c r="C38" s="29">
        <v>5</v>
      </c>
      <c r="D38" s="29">
        <v>71</v>
      </c>
      <c r="F38" s="41">
        <v>25</v>
      </c>
      <c r="G38" s="32" t="str">
        <f>B26</f>
        <v>INVERSIONES BOLIVAR  TACNA SAC</v>
      </c>
      <c r="H38" s="41">
        <f>C26</f>
        <v>4</v>
      </c>
      <c r="I38" s="41">
        <f>D26</f>
        <v>44</v>
      </c>
    </row>
    <row r="39" spans="1:9" x14ac:dyDescent="0.25">
      <c r="A39" s="29">
        <v>1175</v>
      </c>
      <c r="B39" t="s">
        <v>1219</v>
      </c>
      <c r="C39" s="29">
        <v>3</v>
      </c>
      <c r="D39" s="29">
        <v>76</v>
      </c>
      <c r="F39" s="41">
        <v>26</v>
      </c>
      <c r="G39" s="32" t="str">
        <f>B27</f>
        <v>EXCLUSIVIDADES PERSA SAC</v>
      </c>
      <c r="H39" s="41">
        <f>C27</f>
        <v>1</v>
      </c>
      <c r="I39" s="41">
        <f>D27</f>
        <v>46</v>
      </c>
    </row>
    <row r="40" spans="1:9" x14ac:dyDescent="0.25">
      <c r="A40" s="29">
        <v>299</v>
      </c>
      <c r="B40" t="s">
        <v>343</v>
      </c>
      <c r="C40" s="29">
        <v>1</v>
      </c>
      <c r="D40" s="29">
        <v>78</v>
      </c>
      <c r="F40" s="41">
        <v>27</v>
      </c>
      <c r="G40" s="32" t="str">
        <f>B28</f>
        <v>INVERSIONES &amp; SERVICIOS MULTIPLES COQUIT O SAC</v>
      </c>
      <c r="H40" s="41">
        <f>C28</f>
        <v>4</v>
      </c>
      <c r="I40" s="41">
        <f>D28</f>
        <v>48</v>
      </c>
    </row>
    <row r="41" spans="1:9" x14ac:dyDescent="0.25">
      <c r="A41" s="29">
        <v>346</v>
      </c>
      <c r="B41" t="s">
        <v>390</v>
      </c>
      <c r="C41" s="29">
        <v>1</v>
      </c>
      <c r="D41" s="29">
        <v>78</v>
      </c>
      <c r="F41" s="41">
        <v>28</v>
      </c>
      <c r="G41" s="32" t="str">
        <f>B29</f>
        <v>HORNA CORRALES DANTE ANTONIO</v>
      </c>
      <c r="H41" s="41">
        <f>C29</f>
        <v>1</v>
      </c>
      <c r="I41" s="41">
        <f>D29</f>
        <v>53</v>
      </c>
    </row>
    <row r="42" spans="1:9" x14ac:dyDescent="0.25">
      <c r="A42" s="29">
        <v>552</v>
      </c>
      <c r="B42" t="s">
        <v>596</v>
      </c>
      <c r="C42" s="29">
        <v>1</v>
      </c>
      <c r="D42" s="29">
        <v>78</v>
      </c>
      <c r="F42" s="41">
        <v>29</v>
      </c>
      <c r="G42" s="32" t="str">
        <f>B30</f>
        <v>MULTICOMERCIOS &amp; SERVICIOS LANDER EIRL</v>
      </c>
      <c r="H42" s="41">
        <f>C30</f>
        <v>1</v>
      </c>
      <c r="I42" s="41">
        <f>D30</f>
        <v>55</v>
      </c>
    </row>
    <row r="43" spans="1:9" x14ac:dyDescent="0.25">
      <c r="A43" s="29">
        <v>709</v>
      </c>
      <c r="B43" t="s">
        <v>753</v>
      </c>
      <c r="C43" s="29">
        <v>1</v>
      </c>
      <c r="D43" s="29">
        <v>78</v>
      </c>
      <c r="F43" s="41">
        <v>30</v>
      </c>
      <c r="G43" s="32" t="str">
        <f>B31</f>
        <v>SURCO AROSQUIPA LEONIDAS</v>
      </c>
      <c r="H43" s="41">
        <f>C31</f>
        <v>5</v>
      </c>
      <c r="I43" s="41">
        <f>D31</f>
        <v>56</v>
      </c>
    </row>
    <row r="44" spans="1:9" x14ac:dyDescent="0.25">
      <c r="A44" s="29">
        <v>640</v>
      </c>
      <c r="B44" t="s">
        <v>684</v>
      </c>
      <c r="C44" s="29">
        <v>1</v>
      </c>
      <c r="D44" s="29">
        <v>80</v>
      </c>
      <c r="F44" s="41">
        <v>31</v>
      </c>
      <c r="G44" s="32" t="str">
        <f>B32</f>
        <v>A &amp; M ANJUFA SAC</v>
      </c>
      <c r="H44" s="41">
        <f>C32</f>
        <v>1</v>
      </c>
      <c r="I44" s="41">
        <f>D32</f>
        <v>59</v>
      </c>
    </row>
    <row r="45" spans="1:9" x14ac:dyDescent="0.25">
      <c r="A45" s="29">
        <v>468</v>
      </c>
      <c r="B45" t="s">
        <v>512</v>
      </c>
      <c r="C45" s="29">
        <v>1</v>
      </c>
      <c r="D45" s="29">
        <v>82</v>
      </c>
      <c r="F45" s="41">
        <v>32</v>
      </c>
      <c r="G45" s="32" t="str">
        <f>B33</f>
        <v>MONTERO VALVERDE RUD JAMEN</v>
      </c>
      <c r="H45" s="41">
        <f>C33</f>
        <v>2</v>
      </c>
      <c r="I45" s="41">
        <f>D33</f>
        <v>59</v>
      </c>
    </row>
    <row r="46" spans="1:9" x14ac:dyDescent="0.25">
      <c r="A46" s="29">
        <v>179</v>
      </c>
      <c r="B46" t="s">
        <v>223</v>
      </c>
      <c r="C46" s="29">
        <v>1</v>
      </c>
      <c r="D46" s="29">
        <v>86</v>
      </c>
      <c r="F46" s="41">
        <v>33</v>
      </c>
      <c r="G46" s="32" t="str">
        <f>B34</f>
        <v>CORPORACION NAHOCA SAC</v>
      </c>
      <c r="H46" s="41">
        <f>C34</f>
        <v>1</v>
      </c>
      <c r="I46" s="41">
        <f>D34</f>
        <v>61</v>
      </c>
    </row>
    <row r="47" spans="1:9" x14ac:dyDescent="0.25">
      <c r="A47" s="29">
        <v>519</v>
      </c>
      <c r="B47" t="s">
        <v>563</v>
      </c>
      <c r="C47" s="29">
        <v>5</v>
      </c>
      <c r="D47" s="29">
        <v>86</v>
      </c>
      <c r="F47" s="41">
        <v>34</v>
      </c>
      <c r="G47" s="32" t="str">
        <f>B35</f>
        <v>JAYLOU EIRL</v>
      </c>
      <c r="H47" s="41">
        <f>C35</f>
        <v>1</v>
      </c>
      <c r="I47" s="41">
        <f>D35</f>
        <v>61</v>
      </c>
    </row>
    <row r="48" spans="1:9" x14ac:dyDescent="0.25">
      <c r="A48" s="29">
        <v>794</v>
      </c>
      <c r="B48" t="s">
        <v>838</v>
      </c>
      <c r="C48" s="29">
        <v>1</v>
      </c>
      <c r="D48" s="29">
        <v>87</v>
      </c>
      <c r="F48" s="41">
        <v>35</v>
      </c>
      <c r="G48" s="32" t="str">
        <f>B36</f>
        <v>CERRON ALIAGA CLETO GUIGBERTO</v>
      </c>
      <c r="H48" s="41">
        <f>C36</f>
        <v>2</v>
      </c>
      <c r="I48" s="41">
        <f>D36</f>
        <v>62</v>
      </c>
    </row>
    <row r="49" spans="1:9" x14ac:dyDescent="0.25">
      <c r="A49" s="29">
        <v>962</v>
      </c>
      <c r="B49" t="s">
        <v>1006</v>
      </c>
      <c r="C49" s="29">
        <v>1</v>
      </c>
      <c r="D49" s="29">
        <v>88</v>
      </c>
      <c r="F49" s="41">
        <v>36</v>
      </c>
      <c r="G49" s="32" t="str">
        <f>B37</f>
        <v>ORTHOMEDIC EIRL</v>
      </c>
      <c r="H49" s="41">
        <f>C37</f>
        <v>2</v>
      </c>
      <c r="I49" s="41">
        <f>D37</f>
        <v>71</v>
      </c>
    </row>
    <row r="50" spans="1:9" x14ac:dyDescent="0.25">
      <c r="A50" s="29">
        <v>1167</v>
      </c>
      <c r="B50" t="s">
        <v>1211</v>
      </c>
      <c r="C50" s="29">
        <v>2</v>
      </c>
      <c r="D50" s="29">
        <v>88</v>
      </c>
      <c r="F50" s="41">
        <v>37</v>
      </c>
      <c r="G50" s="32" t="str">
        <f>B38</f>
        <v>SALAZAR LAZARTE JUAN LUIS</v>
      </c>
      <c r="H50" s="41">
        <f>C38</f>
        <v>5</v>
      </c>
      <c r="I50" s="41">
        <f>D38</f>
        <v>71</v>
      </c>
    </row>
    <row r="51" spans="1:9" x14ac:dyDescent="0.25">
      <c r="A51" s="29">
        <v>641</v>
      </c>
      <c r="B51" t="s">
        <v>685</v>
      </c>
      <c r="C51" s="29">
        <v>6</v>
      </c>
      <c r="D51" s="29">
        <v>89</v>
      </c>
      <c r="F51" s="41">
        <v>38</v>
      </c>
      <c r="G51" s="32" t="str">
        <f>B39</f>
        <v>A&amp;A CONSTRUCCIONES EIRL</v>
      </c>
      <c r="H51" s="41">
        <f>C39</f>
        <v>3</v>
      </c>
      <c r="I51" s="41">
        <f>D39</f>
        <v>76</v>
      </c>
    </row>
    <row r="52" spans="1:9" x14ac:dyDescent="0.25">
      <c r="A52" s="29">
        <v>754</v>
      </c>
      <c r="B52" t="s">
        <v>798</v>
      </c>
      <c r="C52" s="29">
        <v>2</v>
      </c>
      <c r="D52" s="29">
        <v>90</v>
      </c>
      <c r="F52" s="41">
        <v>39</v>
      </c>
      <c r="G52" s="32" t="str">
        <f>B40</f>
        <v>JOSMAR MOTORS EIRL</v>
      </c>
      <c r="H52" s="41">
        <f>C40</f>
        <v>1</v>
      </c>
      <c r="I52" s="41">
        <f>D40</f>
        <v>78</v>
      </c>
    </row>
    <row r="53" spans="1:9" x14ac:dyDescent="0.25">
      <c r="A53" s="29">
        <v>189</v>
      </c>
      <c r="B53" t="s">
        <v>233</v>
      </c>
      <c r="C53" s="29">
        <v>1</v>
      </c>
      <c r="D53" s="29">
        <v>93</v>
      </c>
      <c r="F53" s="41">
        <v>40</v>
      </c>
      <c r="G53" s="32" t="str">
        <f>B41</f>
        <v>COTRINA PAREDES MARCO ANTONIO</v>
      </c>
      <c r="H53" s="41">
        <f>C41</f>
        <v>1</v>
      </c>
      <c r="I53" s="41">
        <f>D41</f>
        <v>78</v>
      </c>
    </row>
    <row r="54" spans="1:9" x14ac:dyDescent="0.25">
      <c r="A54" s="29">
        <v>1016</v>
      </c>
      <c r="B54" t="s">
        <v>1060</v>
      </c>
      <c r="C54" s="29">
        <v>1</v>
      </c>
      <c r="D54" s="29">
        <v>93</v>
      </c>
      <c r="F54" s="41">
        <v>41</v>
      </c>
      <c r="G54" s="32" t="str">
        <f>B42</f>
        <v>GOMEZ HUALLPA LUCIO</v>
      </c>
      <c r="H54" s="41">
        <f>C42</f>
        <v>1</v>
      </c>
      <c r="I54" s="41">
        <f>D42</f>
        <v>78</v>
      </c>
    </row>
    <row r="55" spans="1:9" x14ac:dyDescent="0.25">
      <c r="A55" s="29">
        <v>978</v>
      </c>
      <c r="B55" t="s">
        <v>1022</v>
      </c>
      <c r="C55" s="29">
        <v>1</v>
      </c>
      <c r="D55" s="29">
        <v>96</v>
      </c>
      <c r="F55" s="41">
        <v>42</v>
      </c>
      <c r="G55" s="32" t="str">
        <f>B43</f>
        <v>ALMENDRADES ARANDA JAIME ALFREDO</v>
      </c>
      <c r="H55" s="41">
        <f>C43</f>
        <v>1</v>
      </c>
      <c r="I55" s="41">
        <f>D43</f>
        <v>78</v>
      </c>
    </row>
    <row r="56" spans="1:9" x14ac:dyDescent="0.25">
      <c r="A56" s="29">
        <v>1106</v>
      </c>
      <c r="B56" t="s">
        <v>1150</v>
      </c>
      <c r="C56" s="29">
        <v>1</v>
      </c>
      <c r="D56" s="29">
        <v>97</v>
      </c>
      <c r="F56" s="41">
        <v>43</v>
      </c>
      <c r="G56" s="32" t="str">
        <f>B44</f>
        <v>GUDMOVIL SAC</v>
      </c>
      <c r="H56" s="41">
        <f>C44</f>
        <v>1</v>
      </c>
      <c r="I56" s="41">
        <f>D44</f>
        <v>80</v>
      </c>
    </row>
    <row r="57" spans="1:9" x14ac:dyDescent="0.25">
      <c r="A57" s="29">
        <v>184</v>
      </c>
      <c r="B57" t="s">
        <v>228</v>
      </c>
      <c r="C57" s="29">
        <v>1</v>
      </c>
      <c r="D57" s="29">
        <v>98</v>
      </c>
      <c r="F57" s="41">
        <v>44</v>
      </c>
      <c r="G57" s="32" t="str">
        <f>B45</f>
        <v>SIANCAS GASTELO JORGE LUIS</v>
      </c>
      <c r="H57" s="41">
        <f>C45</f>
        <v>1</v>
      </c>
      <c r="I57" s="41">
        <f>D45</f>
        <v>82</v>
      </c>
    </row>
    <row r="58" spans="1:9" x14ac:dyDescent="0.25">
      <c r="A58" s="29">
        <v>556</v>
      </c>
      <c r="B58" t="s">
        <v>600</v>
      </c>
      <c r="C58" s="29">
        <v>1</v>
      </c>
      <c r="D58" s="29">
        <v>99</v>
      </c>
      <c r="F58" s="41">
        <v>45</v>
      </c>
      <c r="G58" s="32" t="str">
        <f>B46</f>
        <v>NAVARRO MAZA JUAN FRANCISCO</v>
      </c>
      <c r="H58" s="41">
        <f>C46</f>
        <v>1</v>
      </c>
      <c r="I58" s="41">
        <f>D46</f>
        <v>86</v>
      </c>
    </row>
    <row r="59" spans="1:9" x14ac:dyDescent="0.25">
      <c r="A59" s="29">
        <v>699</v>
      </c>
      <c r="B59" t="s">
        <v>743</v>
      </c>
      <c r="C59" s="29">
        <v>1</v>
      </c>
      <c r="D59" s="29">
        <v>99</v>
      </c>
      <c r="F59" s="41">
        <v>46</v>
      </c>
      <c r="G59" s="32" t="str">
        <f>B47</f>
        <v>MULTISERVICIOS E INVERSIONES KENNYS SAC</v>
      </c>
      <c r="H59" s="41">
        <f>C47</f>
        <v>5</v>
      </c>
      <c r="I59" s="41">
        <f>D47</f>
        <v>86</v>
      </c>
    </row>
    <row r="60" spans="1:9" x14ac:dyDescent="0.25">
      <c r="A60" s="29">
        <v>164</v>
      </c>
      <c r="B60" t="s">
        <v>208</v>
      </c>
      <c r="C60" s="29">
        <v>1</v>
      </c>
      <c r="D60" s="29">
        <v>100</v>
      </c>
      <c r="F60" s="41">
        <v>47</v>
      </c>
      <c r="G60" s="32" t="str">
        <f>B48</f>
        <v>COMERCIAL TEXTIL LLAMOSA EIRL</v>
      </c>
      <c r="H60" s="41">
        <f>C48</f>
        <v>1</v>
      </c>
      <c r="I60" s="41">
        <f>D48</f>
        <v>87</v>
      </c>
    </row>
    <row r="61" spans="1:9" x14ac:dyDescent="0.25">
      <c r="A61" s="29">
        <v>905</v>
      </c>
      <c r="B61" t="s">
        <v>949</v>
      </c>
      <c r="C61" s="29">
        <v>1</v>
      </c>
      <c r="D61" s="29">
        <v>100</v>
      </c>
      <c r="F61" s="41">
        <v>48</v>
      </c>
      <c r="G61" s="32" t="str">
        <f>B49</f>
        <v>GRUPO DAVEST SAC</v>
      </c>
      <c r="H61" s="41">
        <f>C49</f>
        <v>1</v>
      </c>
      <c r="I61" s="41">
        <f>D49</f>
        <v>88</v>
      </c>
    </row>
    <row r="62" spans="1:9" x14ac:dyDescent="0.25">
      <c r="A62" s="29">
        <v>991</v>
      </c>
      <c r="B62" t="s">
        <v>1035</v>
      </c>
      <c r="C62" s="29">
        <v>1</v>
      </c>
      <c r="D62" s="29">
        <v>104</v>
      </c>
      <c r="F62" s="41">
        <v>49</v>
      </c>
      <c r="G62" s="32" t="str">
        <f>B50</f>
        <v>RECTIFICACIONES DAVID SAC</v>
      </c>
      <c r="H62" s="41">
        <f>C50</f>
        <v>2</v>
      </c>
      <c r="I62" s="41">
        <f>D50</f>
        <v>88</v>
      </c>
    </row>
    <row r="63" spans="1:9" x14ac:dyDescent="0.25">
      <c r="A63" s="29">
        <v>264</v>
      </c>
      <c r="B63" t="s">
        <v>308</v>
      </c>
      <c r="C63" s="29">
        <v>1</v>
      </c>
      <c r="D63" s="29">
        <v>105</v>
      </c>
      <c r="F63" s="41">
        <v>50</v>
      </c>
      <c r="G63" s="32" t="str">
        <f>B51</f>
        <v>ANTICONA ROJAS CARMEN DEL PILAR</v>
      </c>
      <c r="H63" s="41">
        <f>C51</f>
        <v>6</v>
      </c>
      <c r="I63" s="41">
        <f>D51</f>
        <v>89</v>
      </c>
    </row>
    <row r="64" spans="1:9" x14ac:dyDescent="0.25">
      <c r="A64" s="29">
        <v>371</v>
      </c>
      <c r="B64" t="s">
        <v>415</v>
      </c>
      <c r="C64" s="29">
        <v>1</v>
      </c>
      <c r="D64" s="29">
        <v>108</v>
      </c>
      <c r="F64" s="41">
        <v>51</v>
      </c>
      <c r="G64" s="32" t="str">
        <f>B52</f>
        <v>LOS LIBROS MAS PEQUE¿OS DEL MUNDO EIRL</v>
      </c>
      <c r="H64" s="41">
        <f>C52</f>
        <v>2</v>
      </c>
      <c r="I64" s="41">
        <f>D52</f>
        <v>90</v>
      </c>
    </row>
    <row r="65" spans="1:9" x14ac:dyDescent="0.25">
      <c r="A65" s="29">
        <v>946</v>
      </c>
      <c r="B65" t="s">
        <v>990</v>
      </c>
      <c r="C65" s="29">
        <v>1</v>
      </c>
      <c r="D65" s="29">
        <v>111</v>
      </c>
      <c r="F65" s="41">
        <v>52</v>
      </c>
      <c r="G65" s="32" t="str">
        <f>B53</f>
        <v>JACINTO PERICHE OSCAR</v>
      </c>
      <c r="H65" s="41">
        <f>C53</f>
        <v>1</v>
      </c>
      <c r="I65" s="41">
        <f>D53</f>
        <v>93</v>
      </c>
    </row>
    <row r="66" spans="1:4" x14ac:dyDescent="0.25">
      <c r="A66" s="29">
        <v>447</v>
      </c>
      <c r="B66" t="s">
        <v>491</v>
      </c>
      <c r="C66" s="29">
        <v>1</v>
      </c>
      <c r="D66" s="29">
        <v>113</v>
      </c>
    </row>
    <row r="67" spans="1:4" x14ac:dyDescent="0.25">
      <c r="A67" s="29">
        <v>611</v>
      </c>
      <c r="B67" t="s">
        <v>655</v>
      </c>
      <c r="C67" s="29">
        <v>4</v>
      </c>
      <c r="D67" s="29">
        <v>116</v>
      </c>
    </row>
    <row r="68" spans="1:4" x14ac:dyDescent="0.25">
      <c r="A68" s="29">
        <v>1071</v>
      </c>
      <c r="B68" t="s">
        <v>1115</v>
      </c>
      <c r="C68" s="29">
        <v>1</v>
      </c>
      <c r="D68" s="29">
        <v>116</v>
      </c>
    </row>
    <row r="69" spans="1:4" x14ac:dyDescent="0.25">
      <c r="A69" s="29">
        <v>970</v>
      </c>
      <c r="B69" t="s">
        <v>1014</v>
      </c>
      <c r="C69" s="29">
        <v>5</v>
      </c>
      <c r="D69" s="29">
        <v>120</v>
      </c>
    </row>
    <row r="70" spans="1:4" x14ac:dyDescent="0.25">
      <c r="A70" s="29">
        <v>678</v>
      </c>
      <c r="B70" t="s">
        <v>722</v>
      </c>
      <c r="C70" s="29">
        <v>2</v>
      </c>
      <c r="D70" s="29">
        <v>121</v>
      </c>
    </row>
    <row r="71" spans="1:4" x14ac:dyDescent="0.25">
      <c r="A71" s="29">
        <v>869</v>
      </c>
      <c r="B71" t="s">
        <v>913</v>
      </c>
      <c r="C71" s="29">
        <v>2</v>
      </c>
      <c r="D71" s="29">
        <v>125</v>
      </c>
    </row>
    <row r="72" spans="1:4" x14ac:dyDescent="0.25">
      <c r="A72" s="29">
        <v>207</v>
      </c>
      <c r="B72" t="s">
        <v>251</v>
      </c>
      <c r="C72" s="29">
        <v>1</v>
      </c>
      <c r="D72" s="29">
        <v>127</v>
      </c>
    </row>
    <row r="73" spans="1:4" x14ac:dyDescent="0.25">
      <c r="A73" s="29">
        <v>1075</v>
      </c>
      <c r="B73" t="s">
        <v>1119</v>
      </c>
      <c r="C73" s="29">
        <v>2</v>
      </c>
      <c r="D73" s="29">
        <v>127</v>
      </c>
    </row>
    <row r="74" spans="1:4" x14ac:dyDescent="0.25">
      <c r="A74" s="29">
        <v>98</v>
      </c>
      <c r="B74" t="s">
        <v>142</v>
      </c>
      <c r="C74" s="29">
        <v>6</v>
      </c>
      <c r="D74" s="29">
        <v>128</v>
      </c>
    </row>
    <row r="75" spans="1:4" x14ac:dyDescent="0.25">
      <c r="A75" s="29">
        <v>734</v>
      </c>
      <c r="B75" t="s">
        <v>778</v>
      </c>
      <c r="C75" s="29">
        <v>2</v>
      </c>
      <c r="D75" s="29">
        <v>132</v>
      </c>
    </row>
    <row r="76" spans="1:4" x14ac:dyDescent="0.25">
      <c r="A76" s="29">
        <v>47</v>
      </c>
      <c r="B76" t="s">
        <v>91</v>
      </c>
      <c r="C76" s="29">
        <v>1</v>
      </c>
      <c r="D76" s="29">
        <v>142</v>
      </c>
    </row>
    <row r="77" spans="1:4" x14ac:dyDescent="0.25">
      <c r="A77" s="29">
        <v>209</v>
      </c>
      <c r="B77" t="s">
        <v>253</v>
      </c>
      <c r="C77" s="29">
        <v>2</v>
      </c>
      <c r="D77" s="29">
        <v>144</v>
      </c>
    </row>
    <row r="78" spans="1:4" x14ac:dyDescent="0.25">
      <c r="A78" s="29">
        <v>936</v>
      </c>
      <c r="B78" t="s">
        <v>980</v>
      </c>
      <c r="C78" s="29">
        <v>1</v>
      </c>
      <c r="D78" s="29">
        <v>144</v>
      </c>
    </row>
    <row r="79" spans="1:4" x14ac:dyDescent="0.25">
      <c r="A79" s="29">
        <v>911</v>
      </c>
      <c r="B79" t="s">
        <v>955</v>
      </c>
      <c r="C79" s="29">
        <v>1</v>
      </c>
      <c r="D79" s="29">
        <v>145</v>
      </c>
    </row>
    <row r="80" spans="1:4" x14ac:dyDescent="0.25">
      <c r="A80" s="29">
        <v>1166</v>
      </c>
      <c r="B80" t="s">
        <v>1210</v>
      </c>
      <c r="C80" s="29">
        <v>2</v>
      </c>
      <c r="D80" s="29">
        <v>145</v>
      </c>
    </row>
    <row r="81" spans="1:4" x14ac:dyDescent="0.25">
      <c r="A81" s="29">
        <v>322</v>
      </c>
      <c r="B81" t="s">
        <v>366</v>
      </c>
      <c r="C81" s="29">
        <v>1</v>
      </c>
      <c r="D81" s="29">
        <v>147</v>
      </c>
    </row>
    <row r="82" spans="1:4" x14ac:dyDescent="0.25">
      <c r="A82" s="29">
        <v>633</v>
      </c>
      <c r="B82" t="s">
        <v>677</v>
      </c>
      <c r="C82" s="29">
        <v>3</v>
      </c>
      <c r="D82" s="29">
        <v>147</v>
      </c>
    </row>
    <row r="83" spans="1:4" x14ac:dyDescent="0.25">
      <c r="A83" s="29">
        <v>381</v>
      </c>
      <c r="B83" t="s">
        <v>425</v>
      </c>
      <c r="C83" s="29">
        <v>1</v>
      </c>
      <c r="D83" s="29">
        <v>148</v>
      </c>
    </row>
    <row r="84" spans="1:4" x14ac:dyDescent="0.25">
      <c r="A84" s="29">
        <v>458</v>
      </c>
      <c r="B84" t="s">
        <v>502</v>
      </c>
      <c r="C84" s="29">
        <v>1</v>
      </c>
      <c r="D84" s="29">
        <v>149</v>
      </c>
    </row>
    <row r="85" spans="1:4" x14ac:dyDescent="0.25">
      <c r="A85" s="29">
        <v>73</v>
      </c>
      <c r="B85" t="s">
        <v>117</v>
      </c>
      <c r="C85" s="29">
        <v>5</v>
      </c>
      <c r="D85" s="29">
        <v>151</v>
      </c>
    </row>
    <row r="86" spans="1:4" x14ac:dyDescent="0.25">
      <c r="A86" s="29">
        <v>810</v>
      </c>
      <c r="B86" t="s">
        <v>854</v>
      </c>
      <c r="C86" s="29">
        <v>4</v>
      </c>
      <c r="D86" s="29">
        <v>151</v>
      </c>
    </row>
    <row r="87" spans="1:4" x14ac:dyDescent="0.25">
      <c r="A87" s="29">
        <v>400</v>
      </c>
      <c r="B87" t="s">
        <v>444</v>
      </c>
      <c r="C87" s="29">
        <v>1</v>
      </c>
      <c r="D87" s="29">
        <v>153</v>
      </c>
    </row>
    <row r="88" spans="1:4" x14ac:dyDescent="0.25">
      <c r="A88" s="29">
        <v>631</v>
      </c>
      <c r="B88" t="s">
        <v>675</v>
      </c>
      <c r="C88" s="29">
        <v>6</v>
      </c>
      <c r="D88" s="29">
        <v>154</v>
      </c>
    </row>
    <row r="89" spans="1:4" x14ac:dyDescent="0.25">
      <c r="A89" s="29">
        <v>1014</v>
      </c>
      <c r="B89" t="s">
        <v>1058</v>
      </c>
      <c r="C89" s="29">
        <v>4</v>
      </c>
      <c r="D89" s="29">
        <v>156</v>
      </c>
    </row>
    <row r="90" spans="1:4" x14ac:dyDescent="0.25">
      <c r="A90" s="29">
        <v>555</v>
      </c>
      <c r="B90" t="s">
        <v>599</v>
      </c>
      <c r="C90" s="29">
        <v>5</v>
      </c>
      <c r="D90" s="29">
        <v>158</v>
      </c>
    </row>
    <row r="91" spans="1:4" x14ac:dyDescent="0.25">
      <c r="A91" s="29">
        <v>823</v>
      </c>
      <c r="B91" t="s">
        <v>867</v>
      </c>
      <c r="C91" s="29">
        <v>2</v>
      </c>
      <c r="D91" s="29">
        <v>159</v>
      </c>
    </row>
    <row r="92" spans="1:4" x14ac:dyDescent="0.25">
      <c r="A92" s="29">
        <v>804</v>
      </c>
      <c r="B92" t="s">
        <v>848</v>
      </c>
      <c r="C92" s="29">
        <v>1</v>
      </c>
      <c r="D92" s="29">
        <v>161</v>
      </c>
    </row>
    <row r="93" spans="1:4" x14ac:dyDescent="0.25">
      <c r="A93" s="29">
        <v>500</v>
      </c>
      <c r="B93" t="s">
        <v>544</v>
      </c>
      <c r="C93" s="29">
        <v>1</v>
      </c>
      <c r="D93" s="29">
        <v>162</v>
      </c>
    </row>
    <row r="94" spans="1:4" x14ac:dyDescent="0.25">
      <c r="A94" s="29">
        <v>38</v>
      </c>
      <c r="B94" t="s">
        <v>82</v>
      </c>
      <c r="C94" s="29">
        <v>5</v>
      </c>
      <c r="D94" s="29">
        <v>165</v>
      </c>
    </row>
    <row r="95" spans="1:4" x14ac:dyDescent="0.25">
      <c r="A95" s="29">
        <v>698</v>
      </c>
      <c r="B95" t="s">
        <v>742</v>
      </c>
      <c r="C95" s="29">
        <v>1</v>
      </c>
      <c r="D95" s="29">
        <v>165</v>
      </c>
    </row>
    <row r="96" spans="1:4" x14ac:dyDescent="0.25">
      <c r="A96" s="29">
        <v>839</v>
      </c>
      <c r="B96" t="s">
        <v>883</v>
      </c>
      <c r="C96" s="29">
        <v>1</v>
      </c>
      <c r="D96" s="29">
        <v>165</v>
      </c>
    </row>
    <row r="97" spans="1:4" x14ac:dyDescent="0.25">
      <c r="A97" s="29">
        <v>599</v>
      </c>
      <c r="B97" t="s">
        <v>643</v>
      </c>
      <c r="C97" s="29">
        <v>4</v>
      </c>
      <c r="D97" s="29">
        <v>166</v>
      </c>
    </row>
    <row r="98" spans="1:4" x14ac:dyDescent="0.25">
      <c r="A98" s="29">
        <v>1152</v>
      </c>
      <c r="B98" t="s">
        <v>1196</v>
      </c>
      <c r="C98" s="29">
        <v>5</v>
      </c>
      <c r="D98" s="29">
        <v>166</v>
      </c>
    </row>
    <row r="99" spans="1:4" x14ac:dyDescent="0.25">
      <c r="A99" s="29">
        <v>41</v>
      </c>
      <c r="B99" t="s">
        <v>85</v>
      </c>
      <c r="C99" s="29">
        <v>1</v>
      </c>
      <c r="D99" s="29">
        <v>167</v>
      </c>
    </row>
    <row r="100" spans="1:4" x14ac:dyDescent="0.25">
      <c r="A100" s="29">
        <v>253</v>
      </c>
      <c r="B100" t="s">
        <v>297</v>
      </c>
      <c r="C100" s="29">
        <v>1</v>
      </c>
      <c r="D100" s="29">
        <v>171</v>
      </c>
    </row>
    <row r="101" spans="1:4" x14ac:dyDescent="0.25">
      <c r="A101" s="29">
        <v>127</v>
      </c>
      <c r="B101" t="s">
        <v>171</v>
      </c>
      <c r="C101" s="29">
        <v>1</v>
      </c>
      <c r="D101" s="29">
        <v>172</v>
      </c>
    </row>
    <row r="102" spans="1:4" x14ac:dyDescent="0.25">
      <c r="A102" s="29">
        <v>173</v>
      </c>
      <c r="B102" t="s">
        <v>217</v>
      </c>
      <c r="C102" s="29">
        <v>2</v>
      </c>
      <c r="D102" s="29">
        <v>172</v>
      </c>
    </row>
    <row r="103" spans="1:4" x14ac:dyDescent="0.25">
      <c r="A103" s="29">
        <v>600</v>
      </c>
      <c r="B103" t="s">
        <v>644</v>
      </c>
      <c r="C103" s="29">
        <v>4</v>
      </c>
      <c r="D103" s="29">
        <v>172</v>
      </c>
    </row>
    <row r="104" spans="1:4" x14ac:dyDescent="0.25">
      <c r="A104" s="29">
        <v>298</v>
      </c>
      <c r="B104" t="s">
        <v>342</v>
      </c>
      <c r="C104" s="29">
        <v>1</v>
      </c>
      <c r="D104" s="29">
        <v>173</v>
      </c>
    </row>
    <row r="105" spans="1:4" x14ac:dyDescent="0.25">
      <c r="A105" s="29">
        <v>395</v>
      </c>
      <c r="B105" t="s">
        <v>439</v>
      </c>
      <c r="C105" s="29">
        <v>4</v>
      </c>
      <c r="D105" s="29">
        <v>175</v>
      </c>
    </row>
    <row r="106" spans="1:4" x14ac:dyDescent="0.25">
      <c r="A106" s="29">
        <v>757</v>
      </c>
      <c r="B106" t="s">
        <v>801</v>
      </c>
      <c r="C106" s="29">
        <v>2</v>
      </c>
      <c r="D106" s="29">
        <v>176</v>
      </c>
    </row>
    <row r="107" spans="1:4" x14ac:dyDescent="0.25">
      <c r="A107" s="29">
        <v>634</v>
      </c>
      <c r="B107" t="s">
        <v>678</v>
      </c>
      <c r="C107" s="29">
        <v>5</v>
      </c>
      <c r="D107" s="29">
        <v>177</v>
      </c>
    </row>
    <row r="108" spans="1:4" x14ac:dyDescent="0.25">
      <c r="A108" s="29">
        <v>550</v>
      </c>
      <c r="B108" t="s">
        <v>594</v>
      </c>
      <c r="C108" s="29">
        <v>1</v>
      </c>
      <c r="D108" s="29">
        <v>179</v>
      </c>
    </row>
    <row r="109" spans="1:4" x14ac:dyDescent="0.25">
      <c r="A109" s="29">
        <v>572</v>
      </c>
      <c r="B109" t="s">
        <v>616</v>
      </c>
      <c r="C109" s="29">
        <v>1</v>
      </c>
      <c r="D109" s="29">
        <v>179</v>
      </c>
    </row>
    <row r="110" spans="1:4" x14ac:dyDescent="0.25">
      <c r="A110" s="29">
        <v>156</v>
      </c>
      <c r="B110" t="s">
        <v>200</v>
      </c>
      <c r="C110" s="29">
        <v>1</v>
      </c>
      <c r="D110" s="29">
        <v>181</v>
      </c>
    </row>
    <row r="111" spans="1:4" x14ac:dyDescent="0.25">
      <c r="A111" s="29">
        <v>1184</v>
      </c>
      <c r="B111" t="s">
        <v>1228</v>
      </c>
      <c r="C111" s="29">
        <v>5</v>
      </c>
      <c r="D111" s="29">
        <v>182</v>
      </c>
    </row>
    <row r="112" spans="1:4" x14ac:dyDescent="0.25">
      <c r="A112" s="29">
        <v>926</v>
      </c>
      <c r="B112" t="s">
        <v>970</v>
      </c>
      <c r="C112" s="29">
        <v>1</v>
      </c>
      <c r="D112" s="29">
        <v>183</v>
      </c>
    </row>
    <row r="113" spans="1:4" x14ac:dyDescent="0.25">
      <c r="A113" s="29">
        <v>1145</v>
      </c>
      <c r="B113" t="s">
        <v>1189</v>
      </c>
      <c r="C113" s="29">
        <v>1</v>
      </c>
      <c r="D113" s="29">
        <v>185</v>
      </c>
    </row>
    <row r="114" spans="1:4" x14ac:dyDescent="0.25">
      <c r="A114" s="29">
        <v>197</v>
      </c>
      <c r="B114" t="s">
        <v>241</v>
      </c>
      <c r="C114" s="29">
        <v>5</v>
      </c>
      <c r="D114" s="29">
        <v>189</v>
      </c>
    </row>
    <row r="115" spans="1:4" x14ac:dyDescent="0.25">
      <c r="A115" s="29">
        <v>461</v>
      </c>
      <c r="B115" t="s">
        <v>505</v>
      </c>
      <c r="C115" s="29">
        <v>1</v>
      </c>
      <c r="D115" s="29">
        <v>190</v>
      </c>
    </row>
    <row r="116" spans="1:4" x14ac:dyDescent="0.25">
      <c r="A116" s="29">
        <v>67</v>
      </c>
      <c r="B116" t="s">
        <v>111</v>
      </c>
      <c r="C116" s="29">
        <v>1</v>
      </c>
      <c r="D116" s="29">
        <v>193</v>
      </c>
    </row>
    <row r="117" spans="1:4" x14ac:dyDescent="0.25">
      <c r="A117" s="29">
        <v>315</v>
      </c>
      <c r="B117" t="s">
        <v>359</v>
      </c>
      <c r="C117" s="29">
        <v>1</v>
      </c>
      <c r="D117" s="29">
        <v>194</v>
      </c>
    </row>
    <row r="118" spans="1:4" x14ac:dyDescent="0.25">
      <c r="A118" s="29">
        <v>569</v>
      </c>
      <c r="B118" t="s">
        <v>613</v>
      </c>
      <c r="C118" s="29">
        <v>1</v>
      </c>
      <c r="D118" s="29">
        <v>198</v>
      </c>
    </row>
    <row r="119" spans="1:4" x14ac:dyDescent="0.25">
      <c r="A119" s="29">
        <v>660</v>
      </c>
      <c r="B119" t="s">
        <v>704</v>
      </c>
      <c r="C119" s="29">
        <v>1</v>
      </c>
      <c r="D119" s="29">
        <v>198</v>
      </c>
    </row>
    <row r="120" spans="1:4" x14ac:dyDescent="0.25">
      <c r="A120" s="29">
        <v>339</v>
      </c>
      <c r="B120" t="s">
        <v>383</v>
      </c>
      <c r="C120" s="29">
        <v>1</v>
      </c>
      <c r="D120" s="29">
        <v>199</v>
      </c>
    </row>
    <row r="121" spans="1:4" x14ac:dyDescent="0.25">
      <c r="A121" s="29">
        <v>972</v>
      </c>
      <c r="B121" t="s">
        <v>1016</v>
      </c>
      <c r="C121" s="29">
        <v>5</v>
      </c>
      <c r="D121" s="29">
        <v>200</v>
      </c>
    </row>
    <row r="122" spans="1:4" x14ac:dyDescent="0.25">
      <c r="A122" s="29">
        <v>405</v>
      </c>
      <c r="B122" t="s">
        <v>449</v>
      </c>
      <c r="C122" s="29">
        <v>4</v>
      </c>
      <c r="D122" s="29">
        <v>203</v>
      </c>
    </row>
    <row r="123" spans="1:4" x14ac:dyDescent="0.25">
      <c r="A123" s="29">
        <v>1112</v>
      </c>
      <c r="B123" t="s">
        <v>1156</v>
      </c>
      <c r="C123" s="29">
        <v>1</v>
      </c>
      <c r="D123" s="29">
        <v>204</v>
      </c>
    </row>
    <row r="124" spans="1:4" x14ac:dyDescent="0.25">
      <c r="A124" s="29">
        <v>829</v>
      </c>
      <c r="B124" t="s">
        <v>873</v>
      </c>
      <c r="C124" s="29">
        <v>1</v>
      </c>
      <c r="D124" s="29">
        <v>205</v>
      </c>
    </row>
    <row r="125" spans="1:4" x14ac:dyDescent="0.25">
      <c r="A125" s="29">
        <v>1185</v>
      </c>
      <c r="B125" t="s">
        <v>1229</v>
      </c>
      <c r="C125" s="29">
        <v>1</v>
      </c>
      <c r="D125" s="29">
        <v>207</v>
      </c>
    </row>
    <row r="126" spans="1:4" x14ac:dyDescent="0.25">
      <c r="A126" s="29">
        <v>544</v>
      </c>
      <c r="B126" t="s">
        <v>588</v>
      </c>
      <c r="C126" s="29">
        <v>3</v>
      </c>
      <c r="D126" s="29">
        <v>209</v>
      </c>
    </row>
    <row r="127" spans="1:4" x14ac:dyDescent="0.25">
      <c r="A127" s="29">
        <v>1084</v>
      </c>
      <c r="B127" t="s">
        <v>1128</v>
      </c>
      <c r="C127" s="29">
        <v>1</v>
      </c>
      <c r="D127" s="29">
        <v>212</v>
      </c>
    </row>
    <row r="128" spans="1:4" x14ac:dyDescent="0.25">
      <c r="A128" s="29">
        <v>496</v>
      </c>
      <c r="B128" t="s">
        <v>540</v>
      </c>
      <c r="C128" s="29">
        <v>2</v>
      </c>
      <c r="D128" s="29">
        <v>214</v>
      </c>
    </row>
    <row r="129" spans="1:4" x14ac:dyDescent="0.25">
      <c r="A129" s="29">
        <v>941</v>
      </c>
      <c r="B129" t="s">
        <v>985</v>
      </c>
      <c r="C129" s="29">
        <v>1</v>
      </c>
      <c r="D129" s="29">
        <v>216</v>
      </c>
    </row>
    <row r="130" spans="1:4" x14ac:dyDescent="0.25">
      <c r="A130" s="29">
        <v>1157</v>
      </c>
      <c r="B130" t="s">
        <v>1201</v>
      </c>
      <c r="C130" s="29">
        <v>3</v>
      </c>
      <c r="D130" s="29">
        <v>216</v>
      </c>
    </row>
    <row r="131" spans="1:4" x14ac:dyDescent="0.25">
      <c r="A131" s="29">
        <v>718</v>
      </c>
      <c r="B131" t="s">
        <v>762</v>
      </c>
      <c r="C131" s="29">
        <v>1</v>
      </c>
      <c r="D131" s="29">
        <v>217</v>
      </c>
    </row>
    <row r="132" spans="1:4" x14ac:dyDescent="0.25">
      <c r="A132" s="29">
        <v>345</v>
      </c>
      <c r="B132" t="s">
        <v>389</v>
      </c>
      <c r="C132" s="29">
        <v>1</v>
      </c>
      <c r="D132" s="29">
        <v>219</v>
      </c>
    </row>
    <row r="133" spans="1:4" x14ac:dyDescent="0.25">
      <c r="A133" s="29">
        <v>615</v>
      </c>
      <c r="B133" t="s">
        <v>659</v>
      </c>
      <c r="C133" s="29">
        <v>1</v>
      </c>
      <c r="D133" s="29">
        <v>219</v>
      </c>
    </row>
    <row r="134" spans="1:4" x14ac:dyDescent="0.25">
      <c r="A134" s="29">
        <v>728</v>
      </c>
      <c r="B134" t="s">
        <v>772</v>
      </c>
      <c r="C134" s="29">
        <v>2</v>
      </c>
      <c r="D134" s="29">
        <v>219</v>
      </c>
    </row>
    <row r="135" spans="1:4" x14ac:dyDescent="0.25">
      <c r="A135" s="29">
        <v>113</v>
      </c>
      <c r="B135" t="s">
        <v>157</v>
      </c>
      <c r="C135" s="29">
        <v>1</v>
      </c>
      <c r="D135" s="29">
        <v>221</v>
      </c>
    </row>
    <row r="136" spans="1:4" x14ac:dyDescent="0.25">
      <c r="A136" s="29">
        <v>435</v>
      </c>
      <c r="B136" t="s">
        <v>479</v>
      </c>
      <c r="C136" s="29">
        <v>1</v>
      </c>
      <c r="D136" s="29">
        <v>228</v>
      </c>
    </row>
    <row r="137" spans="1:4" x14ac:dyDescent="0.25">
      <c r="A137" s="29">
        <v>359</v>
      </c>
      <c r="B137" t="s">
        <v>403</v>
      </c>
      <c r="C137" s="29">
        <v>1</v>
      </c>
      <c r="D137" s="29">
        <v>229</v>
      </c>
    </row>
    <row r="138" spans="1:4" x14ac:dyDescent="0.25">
      <c r="A138" s="29">
        <v>648</v>
      </c>
      <c r="B138" t="s">
        <v>692</v>
      </c>
      <c r="C138" s="29">
        <v>1</v>
      </c>
      <c r="D138" s="29">
        <v>229</v>
      </c>
    </row>
    <row r="139" spans="1:4" x14ac:dyDescent="0.25">
      <c r="A139" s="29">
        <v>909</v>
      </c>
      <c r="B139" t="s">
        <v>953</v>
      </c>
      <c r="C139" s="29">
        <v>1</v>
      </c>
      <c r="D139" s="29">
        <v>229</v>
      </c>
    </row>
    <row r="140" spans="1:4" x14ac:dyDescent="0.25">
      <c r="A140" s="29">
        <v>891</v>
      </c>
      <c r="B140" t="s">
        <v>935</v>
      </c>
      <c r="C140" s="29">
        <v>1</v>
      </c>
      <c r="D140" s="29">
        <v>231</v>
      </c>
    </row>
    <row r="141" spans="1:4" x14ac:dyDescent="0.25">
      <c r="A141" s="29">
        <v>338</v>
      </c>
      <c r="B141" t="s">
        <v>382</v>
      </c>
      <c r="C141" s="29">
        <v>1</v>
      </c>
      <c r="D141" s="29">
        <v>232</v>
      </c>
    </row>
    <row r="142" spans="1:4" x14ac:dyDescent="0.25">
      <c r="A142" s="29">
        <v>160</v>
      </c>
      <c r="B142" t="s">
        <v>204</v>
      </c>
      <c r="C142" s="29">
        <v>6</v>
      </c>
      <c r="D142" s="29">
        <v>234</v>
      </c>
    </row>
    <row r="143" spans="1:4" x14ac:dyDescent="0.25">
      <c r="A143" s="29">
        <v>282</v>
      </c>
      <c r="B143" t="s">
        <v>326</v>
      </c>
      <c r="C143" s="29">
        <v>1</v>
      </c>
      <c r="D143" s="29">
        <v>234</v>
      </c>
    </row>
    <row r="144" spans="1:4" x14ac:dyDescent="0.25">
      <c r="A144" s="29">
        <v>467</v>
      </c>
      <c r="B144" t="s">
        <v>511</v>
      </c>
      <c r="C144" s="29">
        <v>1</v>
      </c>
      <c r="D144" s="29">
        <v>234</v>
      </c>
    </row>
    <row r="145" spans="1:4" x14ac:dyDescent="0.25">
      <c r="A145" s="29">
        <v>251</v>
      </c>
      <c r="B145" t="s">
        <v>295</v>
      </c>
      <c r="C145" s="29">
        <v>1</v>
      </c>
      <c r="D145" s="29">
        <v>239</v>
      </c>
    </row>
    <row r="146" spans="1:4" x14ac:dyDescent="0.25">
      <c r="A146" s="29">
        <v>975</v>
      </c>
      <c r="B146" t="s">
        <v>1019</v>
      </c>
      <c r="C146" s="29">
        <v>4</v>
      </c>
      <c r="D146" s="29">
        <v>242</v>
      </c>
    </row>
    <row r="147" spans="1:4" x14ac:dyDescent="0.25">
      <c r="A147" s="29">
        <v>99</v>
      </c>
      <c r="B147" t="s">
        <v>143</v>
      </c>
      <c r="C147" s="29">
        <v>1</v>
      </c>
      <c r="D147" s="29">
        <v>246</v>
      </c>
    </row>
    <row r="148" spans="1:4" x14ac:dyDescent="0.25">
      <c r="A148" s="29">
        <v>647</v>
      </c>
      <c r="B148" t="s">
        <v>691</v>
      </c>
      <c r="C148" s="29">
        <v>1</v>
      </c>
      <c r="D148" s="29">
        <v>246</v>
      </c>
    </row>
    <row r="149" spans="1:4" x14ac:dyDescent="0.25">
      <c r="A149" s="29">
        <v>758</v>
      </c>
      <c r="B149" t="s">
        <v>802</v>
      </c>
      <c r="C149" s="29">
        <v>5</v>
      </c>
      <c r="D149" s="29">
        <v>246</v>
      </c>
    </row>
    <row r="150" spans="1:4" x14ac:dyDescent="0.25">
      <c r="A150" s="29">
        <v>326</v>
      </c>
      <c r="B150" t="s">
        <v>370</v>
      </c>
      <c r="C150" s="29">
        <v>2</v>
      </c>
      <c r="D150" s="29">
        <v>247</v>
      </c>
    </row>
    <row r="151" spans="1:4" x14ac:dyDescent="0.25">
      <c r="A151" s="29">
        <v>450</v>
      </c>
      <c r="B151" t="s">
        <v>494</v>
      </c>
      <c r="C151" s="29">
        <v>1</v>
      </c>
      <c r="D151" s="29">
        <v>247</v>
      </c>
    </row>
    <row r="152" spans="1:4" x14ac:dyDescent="0.25">
      <c r="A152" s="29">
        <v>676</v>
      </c>
      <c r="B152" t="s">
        <v>720</v>
      </c>
      <c r="C152" s="29">
        <v>2</v>
      </c>
      <c r="D152" s="29">
        <v>249</v>
      </c>
    </row>
    <row r="153" spans="1:4" x14ac:dyDescent="0.25">
      <c r="A153" s="29">
        <v>1163</v>
      </c>
      <c r="B153" t="s">
        <v>1207</v>
      </c>
      <c r="C153" s="29">
        <v>5</v>
      </c>
      <c r="D153" s="29">
        <v>250</v>
      </c>
    </row>
    <row r="154" spans="1:4" x14ac:dyDescent="0.25">
      <c r="A154" s="29">
        <v>812</v>
      </c>
      <c r="B154" t="s">
        <v>856</v>
      </c>
      <c r="C154" s="29">
        <v>4</v>
      </c>
      <c r="D154" s="29">
        <v>253</v>
      </c>
    </row>
    <row r="155" spans="1:4" x14ac:dyDescent="0.25">
      <c r="A155" s="29">
        <v>1109</v>
      </c>
      <c r="B155" t="s">
        <v>1153</v>
      </c>
      <c r="C155" s="29">
        <v>6</v>
      </c>
      <c r="D155" s="29">
        <v>255</v>
      </c>
    </row>
    <row r="156" spans="1:4" x14ac:dyDescent="0.25">
      <c r="A156" s="29">
        <v>1063</v>
      </c>
      <c r="B156" t="s">
        <v>1107</v>
      </c>
      <c r="C156" s="29">
        <v>1</v>
      </c>
      <c r="D156" s="29">
        <v>258</v>
      </c>
    </row>
    <row r="157" spans="1:4" x14ac:dyDescent="0.25">
      <c r="A157" s="29">
        <v>726</v>
      </c>
      <c r="B157" t="s">
        <v>770</v>
      </c>
      <c r="C157" s="29">
        <v>1</v>
      </c>
      <c r="D157" s="29">
        <v>259</v>
      </c>
    </row>
    <row r="158" spans="1:4" x14ac:dyDescent="0.25">
      <c r="A158" s="29">
        <v>61</v>
      </c>
      <c r="B158" t="s">
        <v>105</v>
      </c>
      <c r="C158" s="29">
        <v>1</v>
      </c>
      <c r="D158" s="29">
        <v>261</v>
      </c>
    </row>
    <row r="159" spans="1:4" x14ac:dyDescent="0.25">
      <c r="A159" s="29">
        <v>1121</v>
      </c>
      <c r="B159" t="s">
        <v>1165</v>
      </c>
      <c r="C159" s="29">
        <v>1</v>
      </c>
      <c r="D159" s="29">
        <v>263</v>
      </c>
    </row>
    <row r="160" spans="1:4" x14ac:dyDescent="0.25">
      <c r="A160" s="29">
        <v>200</v>
      </c>
      <c r="B160" t="s">
        <v>244</v>
      </c>
      <c r="C160" s="29">
        <v>4</v>
      </c>
      <c r="D160" s="29">
        <v>265</v>
      </c>
    </row>
    <row r="161" spans="1:4" x14ac:dyDescent="0.25">
      <c r="A161" s="29">
        <v>1138</v>
      </c>
      <c r="B161" t="s">
        <v>1182</v>
      </c>
      <c r="C161" s="29">
        <v>1</v>
      </c>
      <c r="D161" s="29">
        <v>265</v>
      </c>
    </row>
    <row r="162" spans="1:4" x14ac:dyDescent="0.25">
      <c r="A162" s="29">
        <v>285</v>
      </c>
      <c r="B162" t="s">
        <v>329</v>
      </c>
      <c r="C162" s="29">
        <v>1</v>
      </c>
      <c r="D162" s="29">
        <v>266</v>
      </c>
    </row>
    <row r="163" spans="1:4" x14ac:dyDescent="0.25">
      <c r="A163" s="29">
        <v>799</v>
      </c>
      <c r="B163" t="s">
        <v>843</v>
      </c>
      <c r="C163" s="29">
        <v>1</v>
      </c>
      <c r="D163" s="29">
        <v>267</v>
      </c>
    </row>
    <row r="164" spans="1:4" x14ac:dyDescent="0.25">
      <c r="A164" s="29">
        <v>111</v>
      </c>
      <c r="B164" t="s">
        <v>155</v>
      </c>
      <c r="C164" s="29">
        <v>1</v>
      </c>
      <c r="D164" s="29">
        <v>269</v>
      </c>
    </row>
    <row r="165" spans="1:4" x14ac:dyDescent="0.25">
      <c r="A165" s="29">
        <v>186</v>
      </c>
      <c r="B165" t="s">
        <v>230</v>
      </c>
      <c r="C165" s="29">
        <v>4</v>
      </c>
      <c r="D165" s="29">
        <v>269</v>
      </c>
    </row>
    <row r="166" spans="1:4" x14ac:dyDescent="0.25">
      <c r="A166" s="29">
        <v>681</v>
      </c>
      <c r="B166" t="s">
        <v>725</v>
      </c>
      <c r="C166" s="29">
        <v>6</v>
      </c>
      <c r="D166" s="29">
        <v>272</v>
      </c>
    </row>
    <row r="167" spans="1:4" x14ac:dyDescent="0.25">
      <c r="A167" s="29">
        <v>334</v>
      </c>
      <c r="B167" t="s">
        <v>378</v>
      </c>
      <c r="C167" s="29">
        <v>3</v>
      </c>
      <c r="D167" s="29">
        <v>274</v>
      </c>
    </row>
    <row r="168" spans="1:4" x14ac:dyDescent="0.25">
      <c r="A168" s="29">
        <v>25</v>
      </c>
      <c r="B168" t="s">
        <v>69</v>
      </c>
      <c r="C168" s="29">
        <v>6</v>
      </c>
      <c r="D168" s="29">
        <v>276</v>
      </c>
    </row>
    <row r="169" spans="1:4" x14ac:dyDescent="0.25">
      <c r="A169" s="29">
        <v>131</v>
      </c>
      <c r="B169" t="s">
        <v>175</v>
      </c>
      <c r="C169" s="29">
        <v>1</v>
      </c>
      <c r="D169" s="29">
        <v>276</v>
      </c>
    </row>
    <row r="170" spans="1:4" x14ac:dyDescent="0.25">
      <c r="A170" s="29">
        <v>278</v>
      </c>
      <c r="B170" t="s">
        <v>322</v>
      </c>
      <c r="C170" s="29">
        <v>1</v>
      </c>
      <c r="D170" s="29">
        <v>276</v>
      </c>
    </row>
    <row r="171" spans="1:4" x14ac:dyDescent="0.25">
      <c r="A171" s="29">
        <v>673</v>
      </c>
      <c r="B171" t="s">
        <v>717</v>
      </c>
      <c r="C171" s="29">
        <v>1</v>
      </c>
      <c r="D171" s="29">
        <v>276</v>
      </c>
    </row>
    <row r="172" spans="1:4" x14ac:dyDescent="0.25">
      <c r="A172" s="29">
        <v>1076</v>
      </c>
      <c r="B172" t="s">
        <v>1120</v>
      </c>
      <c r="C172" s="29">
        <v>1</v>
      </c>
      <c r="D172" s="29">
        <v>276</v>
      </c>
    </row>
    <row r="173" spans="1:4" x14ac:dyDescent="0.25">
      <c r="A173" s="29">
        <v>1125</v>
      </c>
      <c r="B173" t="s">
        <v>1169</v>
      </c>
      <c r="C173" s="29">
        <v>1</v>
      </c>
      <c r="D173" s="29">
        <v>276</v>
      </c>
    </row>
    <row r="174" spans="1:4" x14ac:dyDescent="0.25">
      <c r="A174" s="29">
        <v>249</v>
      </c>
      <c r="B174" t="s">
        <v>293</v>
      </c>
      <c r="C174" s="29">
        <v>1</v>
      </c>
      <c r="D174" s="29">
        <v>277</v>
      </c>
    </row>
    <row r="175" spans="1:4" x14ac:dyDescent="0.25">
      <c r="A175" s="29">
        <v>146</v>
      </c>
      <c r="B175" t="s">
        <v>190</v>
      </c>
      <c r="C175" s="29">
        <v>1</v>
      </c>
      <c r="D175" s="29">
        <v>279</v>
      </c>
    </row>
    <row r="176" spans="1:4" x14ac:dyDescent="0.25">
      <c r="A176" s="29">
        <v>206</v>
      </c>
      <c r="B176" t="s">
        <v>250</v>
      </c>
      <c r="C176" s="29">
        <v>1</v>
      </c>
      <c r="D176" s="29">
        <v>279</v>
      </c>
    </row>
    <row r="177" spans="1:4" x14ac:dyDescent="0.25">
      <c r="A177" s="29">
        <v>415</v>
      </c>
      <c r="B177" t="s">
        <v>459</v>
      </c>
      <c r="C177" s="29">
        <v>3</v>
      </c>
      <c r="D177" s="29">
        <v>279</v>
      </c>
    </row>
    <row r="178" spans="1:4" x14ac:dyDescent="0.25">
      <c r="A178" s="29">
        <v>745</v>
      </c>
      <c r="B178" t="s">
        <v>789</v>
      </c>
      <c r="C178" s="29">
        <v>1</v>
      </c>
      <c r="D178" s="29">
        <v>279</v>
      </c>
    </row>
    <row r="179" spans="1:4" x14ac:dyDescent="0.25">
      <c r="A179" s="29">
        <v>432</v>
      </c>
      <c r="B179" t="s">
        <v>476</v>
      </c>
      <c r="C179" s="29">
        <v>1</v>
      </c>
      <c r="D179" s="29">
        <v>280</v>
      </c>
    </row>
    <row r="180" spans="1:4" x14ac:dyDescent="0.25">
      <c r="A180" s="29">
        <v>955</v>
      </c>
      <c r="B180" t="s">
        <v>999</v>
      </c>
      <c r="C180" s="29">
        <v>1</v>
      </c>
      <c r="D180" s="29">
        <v>281</v>
      </c>
    </row>
    <row r="181" spans="1:4" x14ac:dyDescent="0.25">
      <c r="A181" s="29">
        <v>652</v>
      </c>
      <c r="B181" t="s">
        <v>696</v>
      </c>
      <c r="C181" s="29">
        <v>1</v>
      </c>
      <c r="D181" s="29">
        <v>290</v>
      </c>
    </row>
    <row r="182" spans="1:4" x14ac:dyDescent="0.25">
      <c r="A182" s="29">
        <v>218</v>
      </c>
      <c r="B182" t="s">
        <v>262</v>
      </c>
      <c r="C182" s="29">
        <v>1</v>
      </c>
      <c r="D182" s="29">
        <v>291</v>
      </c>
    </row>
    <row r="183" spans="1:4" x14ac:dyDescent="0.25">
      <c r="A183" s="29">
        <v>227</v>
      </c>
      <c r="B183" t="s">
        <v>271</v>
      </c>
      <c r="C183" s="29">
        <v>1</v>
      </c>
      <c r="D183" s="29">
        <v>292</v>
      </c>
    </row>
    <row r="184" spans="1:4" x14ac:dyDescent="0.25">
      <c r="A184" s="29">
        <v>742</v>
      </c>
      <c r="B184" t="s">
        <v>786</v>
      </c>
      <c r="C184" s="29">
        <v>1</v>
      </c>
      <c r="D184" s="29">
        <v>292</v>
      </c>
    </row>
    <row r="185" spans="1:4" x14ac:dyDescent="0.25">
      <c r="A185" s="29">
        <v>542</v>
      </c>
      <c r="B185" t="s">
        <v>586</v>
      </c>
      <c r="C185" s="29">
        <v>1</v>
      </c>
      <c r="D185" s="29">
        <v>295</v>
      </c>
    </row>
    <row r="186" spans="1:4" x14ac:dyDescent="0.25">
      <c r="A186" s="29">
        <v>476</v>
      </c>
      <c r="B186" t="s">
        <v>520</v>
      </c>
      <c r="C186" s="29">
        <v>1</v>
      </c>
      <c r="D186" s="29">
        <v>300</v>
      </c>
    </row>
    <row r="187" spans="1:4" x14ac:dyDescent="0.25">
      <c r="A187" s="29">
        <v>656</v>
      </c>
      <c r="B187" t="s">
        <v>700</v>
      </c>
      <c r="C187" s="29">
        <v>5</v>
      </c>
      <c r="D187" s="29">
        <v>302</v>
      </c>
    </row>
    <row r="188" spans="1:4" x14ac:dyDescent="0.25">
      <c r="A188" s="29">
        <v>874</v>
      </c>
      <c r="B188" t="s">
        <v>918</v>
      </c>
      <c r="C188" s="29">
        <v>1</v>
      </c>
      <c r="D188" s="29">
        <v>303</v>
      </c>
    </row>
    <row r="189" spans="1:4" x14ac:dyDescent="0.25">
      <c r="A189" s="29">
        <v>33</v>
      </c>
      <c r="B189" t="s">
        <v>77</v>
      </c>
      <c r="C189" s="29">
        <v>3</v>
      </c>
      <c r="D189" s="29">
        <v>304</v>
      </c>
    </row>
    <row r="190" spans="1:4" x14ac:dyDescent="0.25">
      <c r="A190" s="29">
        <v>225</v>
      </c>
      <c r="B190" t="s">
        <v>269</v>
      </c>
      <c r="C190" s="29">
        <v>1</v>
      </c>
      <c r="D190" s="29">
        <v>310</v>
      </c>
    </row>
    <row r="191" spans="1:4" x14ac:dyDescent="0.25">
      <c r="A191" s="29">
        <v>330</v>
      </c>
      <c r="B191" t="s">
        <v>374</v>
      </c>
      <c r="C191" s="29">
        <v>1</v>
      </c>
      <c r="D191" s="29">
        <v>310</v>
      </c>
    </row>
    <row r="192" spans="1:4" x14ac:dyDescent="0.25">
      <c r="A192" s="29">
        <v>394</v>
      </c>
      <c r="B192" t="s">
        <v>438</v>
      </c>
      <c r="C192" s="29">
        <v>2</v>
      </c>
      <c r="D192" s="29">
        <v>313</v>
      </c>
    </row>
    <row r="193" spans="1:4" x14ac:dyDescent="0.25">
      <c r="A193" s="29">
        <v>938</v>
      </c>
      <c r="B193" t="s">
        <v>982</v>
      </c>
      <c r="C193" s="29">
        <v>1</v>
      </c>
      <c r="D193" s="29">
        <v>313</v>
      </c>
    </row>
    <row r="194" spans="1:4" x14ac:dyDescent="0.25">
      <c r="A194" s="29">
        <v>576</v>
      </c>
      <c r="B194" t="s">
        <v>620</v>
      </c>
      <c r="C194" s="29">
        <v>1</v>
      </c>
      <c r="D194" s="29">
        <v>316</v>
      </c>
    </row>
    <row r="195" spans="1:4" x14ac:dyDescent="0.25">
      <c r="A195" s="29">
        <v>112</v>
      </c>
      <c r="B195" t="s">
        <v>156</v>
      </c>
      <c r="C195" s="29">
        <v>1</v>
      </c>
      <c r="D195" s="29">
        <v>317</v>
      </c>
    </row>
    <row r="196" spans="1:4" x14ac:dyDescent="0.25">
      <c r="A196" s="29">
        <v>969</v>
      </c>
      <c r="B196" t="s">
        <v>1013</v>
      </c>
      <c r="C196" s="29">
        <v>1</v>
      </c>
      <c r="D196" s="29">
        <v>317</v>
      </c>
    </row>
    <row r="197" spans="1:4" x14ac:dyDescent="0.25">
      <c r="A197" s="29">
        <v>1127</v>
      </c>
      <c r="B197" t="s">
        <v>1171</v>
      </c>
      <c r="C197" s="29">
        <v>1</v>
      </c>
      <c r="D197" s="29">
        <v>318</v>
      </c>
    </row>
    <row r="198" spans="1:4" x14ac:dyDescent="0.25">
      <c r="A198" s="29">
        <v>1164</v>
      </c>
      <c r="B198" t="s">
        <v>1208</v>
      </c>
      <c r="C198" s="29">
        <v>1</v>
      </c>
      <c r="D198" s="29">
        <v>319</v>
      </c>
    </row>
    <row r="199" spans="1:4" x14ac:dyDescent="0.25">
      <c r="A199" s="29">
        <v>935</v>
      </c>
      <c r="B199" t="s">
        <v>979</v>
      </c>
      <c r="C199" s="29">
        <v>1</v>
      </c>
      <c r="D199" s="29">
        <v>320</v>
      </c>
    </row>
    <row r="200" spans="1:4" x14ac:dyDescent="0.25">
      <c r="A200" s="29">
        <v>538</v>
      </c>
      <c r="B200" t="s">
        <v>582</v>
      </c>
      <c r="C200" s="29">
        <v>1</v>
      </c>
      <c r="D200" s="29">
        <v>321</v>
      </c>
    </row>
    <row r="201" spans="1:4" x14ac:dyDescent="0.25">
      <c r="A201" s="29">
        <v>110</v>
      </c>
      <c r="B201" t="s">
        <v>154</v>
      </c>
      <c r="C201" s="29">
        <v>1</v>
      </c>
      <c r="D201" s="29">
        <v>323</v>
      </c>
    </row>
    <row r="202" spans="1:4" x14ac:dyDescent="0.25">
      <c r="A202" s="29">
        <v>145</v>
      </c>
      <c r="B202" t="s">
        <v>189</v>
      </c>
      <c r="C202" s="29">
        <v>1</v>
      </c>
      <c r="D202" s="29">
        <v>323</v>
      </c>
    </row>
    <row r="203" spans="1:4" x14ac:dyDescent="0.25">
      <c r="A203" s="29">
        <v>492</v>
      </c>
      <c r="B203" t="s">
        <v>536</v>
      </c>
      <c r="C203" s="29">
        <v>5</v>
      </c>
      <c r="D203" s="29">
        <v>323</v>
      </c>
    </row>
    <row r="204" spans="1:4" x14ac:dyDescent="0.25">
      <c r="A204" s="29">
        <v>158</v>
      </c>
      <c r="B204" t="s">
        <v>202</v>
      </c>
      <c r="C204" s="29">
        <v>1</v>
      </c>
      <c r="D204" s="29">
        <v>326</v>
      </c>
    </row>
    <row r="205" spans="1:4" x14ac:dyDescent="0.25">
      <c r="A205" s="29">
        <v>575</v>
      </c>
      <c r="B205" t="s">
        <v>619</v>
      </c>
      <c r="C205" s="29">
        <v>2</v>
      </c>
      <c r="D205" s="29">
        <v>328</v>
      </c>
    </row>
    <row r="206" spans="1:4" x14ac:dyDescent="0.25">
      <c r="A206" s="29">
        <v>34</v>
      </c>
      <c r="B206" t="s">
        <v>78</v>
      </c>
      <c r="C206" s="29">
        <v>4</v>
      </c>
      <c r="D206" s="29">
        <v>331</v>
      </c>
    </row>
    <row r="207" spans="1:4" x14ac:dyDescent="0.25">
      <c r="A207" s="29">
        <v>534</v>
      </c>
      <c r="B207" t="s">
        <v>578</v>
      </c>
      <c r="C207" s="29">
        <v>1</v>
      </c>
      <c r="D207" s="29">
        <v>332</v>
      </c>
    </row>
    <row r="208" spans="1:4" x14ac:dyDescent="0.25">
      <c r="A208" s="29">
        <v>102</v>
      </c>
      <c r="B208" t="s">
        <v>146</v>
      </c>
      <c r="C208" s="29">
        <v>2</v>
      </c>
      <c r="D208" s="29">
        <v>335</v>
      </c>
    </row>
    <row r="209" spans="1:4" x14ac:dyDescent="0.25">
      <c r="A209" s="29">
        <v>1170</v>
      </c>
      <c r="B209" t="s">
        <v>1214</v>
      </c>
      <c r="C209" s="29">
        <v>1</v>
      </c>
      <c r="D209" s="29">
        <v>335</v>
      </c>
    </row>
    <row r="210" spans="1:4" x14ac:dyDescent="0.25">
      <c r="A210" s="29">
        <v>314</v>
      </c>
      <c r="B210" t="s">
        <v>358</v>
      </c>
      <c r="C210" s="29">
        <v>1</v>
      </c>
      <c r="D210" s="29">
        <v>336</v>
      </c>
    </row>
    <row r="211" spans="1:4" x14ac:dyDescent="0.25">
      <c r="A211" s="29">
        <v>525</v>
      </c>
      <c r="B211" t="s">
        <v>569</v>
      </c>
      <c r="C211" s="29">
        <v>1</v>
      </c>
      <c r="D211" s="29">
        <v>337</v>
      </c>
    </row>
    <row r="212" spans="1:4" x14ac:dyDescent="0.25">
      <c r="A212" s="29">
        <v>505</v>
      </c>
      <c r="B212" t="s">
        <v>549</v>
      </c>
      <c r="C212" s="29">
        <v>1</v>
      </c>
      <c r="D212" s="29">
        <v>338</v>
      </c>
    </row>
    <row r="213" spans="1:4" x14ac:dyDescent="0.25">
      <c r="A213" s="29">
        <v>596</v>
      </c>
      <c r="B213" t="s">
        <v>640</v>
      </c>
      <c r="C213" s="29">
        <v>1</v>
      </c>
      <c r="D213" s="29">
        <v>339</v>
      </c>
    </row>
    <row r="214" spans="1:4" x14ac:dyDescent="0.25">
      <c r="A214" s="29">
        <v>902</v>
      </c>
      <c r="B214" t="s">
        <v>946</v>
      </c>
      <c r="C214" s="29">
        <v>1</v>
      </c>
      <c r="D214" s="29">
        <v>345</v>
      </c>
    </row>
    <row r="215" spans="1:4" x14ac:dyDescent="0.25">
      <c r="A215" s="29">
        <v>1161</v>
      </c>
      <c r="B215" t="s">
        <v>1205</v>
      </c>
      <c r="C215" s="29">
        <v>1</v>
      </c>
      <c r="D215" s="29">
        <v>345</v>
      </c>
    </row>
    <row r="216" spans="1:4" x14ac:dyDescent="0.25">
      <c r="A216" s="29">
        <v>1123</v>
      </c>
      <c r="B216" t="s">
        <v>1167</v>
      </c>
      <c r="C216" s="29">
        <v>1</v>
      </c>
      <c r="D216" s="29">
        <v>349</v>
      </c>
    </row>
    <row r="217" spans="1:4" x14ac:dyDescent="0.25">
      <c r="A217" s="29">
        <v>881</v>
      </c>
      <c r="B217" t="s">
        <v>925</v>
      </c>
      <c r="C217" s="29">
        <v>1</v>
      </c>
      <c r="D217" s="29">
        <v>350</v>
      </c>
    </row>
    <row r="218" spans="1:4" x14ac:dyDescent="0.25">
      <c r="A218" s="29">
        <v>1134</v>
      </c>
      <c r="B218" t="s">
        <v>1178</v>
      </c>
      <c r="C218" s="29">
        <v>1</v>
      </c>
      <c r="D218" s="29">
        <v>351</v>
      </c>
    </row>
    <row r="219" spans="1:4" x14ac:dyDescent="0.25">
      <c r="A219" s="29">
        <v>944</v>
      </c>
      <c r="B219" t="s">
        <v>988</v>
      </c>
      <c r="C219" s="29">
        <v>1</v>
      </c>
      <c r="D219" s="29">
        <v>353</v>
      </c>
    </row>
    <row r="220" spans="1:4" x14ac:dyDescent="0.25">
      <c r="A220" s="29">
        <v>1023</v>
      </c>
      <c r="B220" t="s">
        <v>1067</v>
      </c>
      <c r="C220" s="29">
        <v>2</v>
      </c>
      <c r="D220" s="29">
        <v>354</v>
      </c>
    </row>
    <row r="221" spans="1:4" x14ac:dyDescent="0.25">
      <c r="A221" s="29">
        <v>720</v>
      </c>
      <c r="B221" t="s">
        <v>764</v>
      </c>
      <c r="C221" s="29">
        <v>4</v>
      </c>
      <c r="D221" s="29">
        <v>356</v>
      </c>
    </row>
    <row r="222" spans="1:4" x14ac:dyDescent="0.25">
      <c r="A222" s="29">
        <v>507</v>
      </c>
      <c r="B222" t="s">
        <v>551</v>
      </c>
      <c r="C222" s="29">
        <v>1</v>
      </c>
      <c r="D222" s="29">
        <v>359</v>
      </c>
    </row>
    <row r="223" spans="1:4" x14ac:dyDescent="0.25">
      <c r="A223" s="29">
        <v>806</v>
      </c>
      <c r="B223" t="s">
        <v>850</v>
      </c>
      <c r="C223" s="29">
        <v>1</v>
      </c>
      <c r="D223" s="29">
        <v>359</v>
      </c>
    </row>
    <row r="224" spans="1:4" x14ac:dyDescent="0.25">
      <c r="A224" s="29">
        <v>717</v>
      </c>
      <c r="B224" t="s">
        <v>761</v>
      </c>
      <c r="C224" s="29">
        <v>1</v>
      </c>
      <c r="D224" s="29">
        <v>361</v>
      </c>
    </row>
    <row r="225" spans="1:4" x14ac:dyDescent="0.25">
      <c r="A225" s="29">
        <v>386</v>
      </c>
      <c r="B225" t="s">
        <v>430</v>
      </c>
      <c r="C225" s="29">
        <v>1</v>
      </c>
      <c r="D225" s="29">
        <v>362</v>
      </c>
    </row>
    <row r="226" spans="1:4" x14ac:dyDescent="0.25">
      <c r="A226" s="29">
        <v>973</v>
      </c>
      <c r="B226" t="s">
        <v>1017</v>
      </c>
      <c r="C226" s="29">
        <v>3</v>
      </c>
      <c r="D226" s="29">
        <v>362</v>
      </c>
    </row>
    <row r="227" spans="1:4" x14ac:dyDescent="0.25">
      <c r="A227" s="29">
        <v>988</v>
      </c>
      <c r="B227" t="s">
        <v>1032</v>
      </c>
      <c r="C227" s="29">
        <v>1</v>
      </c>
      <c r="D227" s="29">
        <v>363</v>
      </c>
    </row>
    <row r="228" spans="1:4" x14ac:dyDescent="0.25">
      <c r="A228" s="29">
        <v>1097</v>
      </c>
      <c r="B228" t="s">
        <v>1141</v>
      </c>
      <c r="C228" s="29">
        <v>2</v>
      </c>
      <c r="D228" s="29">
        <v>363</v>
      </c>
    </row>
    <row r="229" spans="1:4" x14ac:dyDescent="0.25">
      <c r="A229" s="29">
        <v>60</v>
      </c>
      <c r="B229" t="s">
        <v>104</v>
      </c>
      <c r="C229" s="29">
        <v>2</v>
      </c>
      <c r="D229" s="29">
        <v>364</v>
      </c>
    </row>
    <row r="230" spans="1:4" x14ac:dyDescent="0.25">
      <c r="A230" s="29">
        <v>410</v>
      </c>
      <c r="B230" t="s">
        <v>454</v>
      </c>
      <c r="C230" s="29">
        <v>4</v>
      </c>
      <c r="D230" s="29">
        <v>365</v>
      </c>
    </row>
    <row r="231" spans="1:4" x14ac:dyDescent="0.25">
      <c r="A231" s="29">
        <v>644</v>
      </c>
      <c r="B231" t="s">
        <v>688</v>
      </c>
      <c r="C231" s="29">
        <v>5</v>
      </c>
      <c r="D231" s="29">
        <v>366</v>
      </c>
    </row>
    <row r="232" spans="1:4" x14ac:dyDescent="0.25">
      <c r="A232" s="29">
        <v>903</v>
      </c>
      <c r="B232" t="s">
        <v>947</v>
      </c>
      <c r="C232" s="29">
        <v>1</v>
      </c>
      <c r="D232" s="29">
        <v>366</v>
      </c>
    </row>
    <row r="233" spans="1:4" x14ac:dyDescent="0.25">
      <c r="A233" s="29">
        <v>765</v>
      </c>
      <c r="B233" t="s">
        <v>809</v>
      </c>
      <c r="C233" s="29">
        <v>1</v>
      </c>
      <c r="D233" s="29">
        <v>367</v>
      </c>
    </row>
    <row r="234" spans="1:4" x14ac:dyDescent="0.25">
      <c r="A234" s="29">
        <v>650</v>
      </c>
      <c r="B234" t="s">
        <v>694</v>
      </c>
      <c r="C234" s="29">
        <v>1</v>
      </c>
      <c r="D234" s="29">
        <v>371</v>
      </c>
    </row>
    <row r="235" spans="1:4" x14ac:dyDescent="0.25">
      <c r="A235" s="29">
        <v>784</v>
      </c>
      <c r="B235" t="s">
        <v>828</v>
      </c>
      <c r="C235" s="29">
        <v>1</v>
      </c>
      <c r="D235" s="29">
        <v>371</v>
      </c>
    </row>
    <row r="236" spans="1:4" x14ac:dyDescent="0.25">
      <c r="A236" s="29">
        <v>1148</v>
      </c>
      <c r="B236" t="s">
        <v>1192</v>
      </c>
      <c r="C236" s="29">
        <v>1</v>
      </c>
      <c r="D236" s="29">
        <v>371</v>
      </c>
    </row>
    <row r="237" spans="1:4" x14ac:dyDescent="0.25">
      <c r="A237" s="29">
        <v>1065</v>
      </c>
      <c r="B237" t="s">
        <v>1109</v>
      </c>
      <c r="C237" s="29">
        <v>6</v>
      </c>
      <c r="D237" s="29">
        <v>372</v>
      </c>
    </row>
    <row r="238" spans="1:4" x14ac:dyDescent="0.25">
      <c r="A238" s="29">
        <v>495</v>
      </c>
      <c r="B238" t="s">
        <v>539</v>
      </c>
      <c r="C238" s="29">
        <v>1</v>
      </c>
      <c r="D238" s="29">
        <v>373</v>
      </c>
    </row>
    <row r="239" spans="1:4" x14ac:dyDescent="0.25">
      <c r="A239" s="29">
        <v>582</v>
      </c>
      <c r="B239" t="s">
        <v>626</v>
      </c>
      <c r="C239" s="29">
        <v>1</v>
      </c>
      <c r="D239" s="29">
        <v>374</v>
      </c>
    </row>
    <row r="240" spans="1:4" x14ac:dyDescent="0.25">
      <c r="A240" s="29">
        <v>487</v>
      </c>
      <c r="B240" t="s">
        <v>531</v>
      </c>
      <c r="C240" s="29">
        <v>1</v>
      </c>
      <c r="D240" s="29">
        <v>376</v>
      </c>
    </row>
    <row r="241" spans="1:4" x14ac:dyDescent="0.25">
      <c r="A241" s="29">
        <v>421</v>
      </c>
      <c r="B241" t="s">
        <v>465</v>
      </c>
      <c r="C241" s="29">
        <v>1</v>
      </c>
      <c r="D241" s="29">
        <v>377</v>
      </c>
    </row>
    <row r="242" spans="1:4" x14ac:dyDescent="0.25">
      <c r="A242" s="29">
        <v>416</v>
      </c>
      <c r="B242" t="s">
        <v>460</v>
      </c>
      <c r="C242" s="29">
        <v>1</v>
      </c>
      <c r="D242" s="29">
        <v>378</v>
      </c>
    </row>
    <row r="243" spans="1:4" x14ac:dyDescent="0.25">
      <c r="A243" s="29">
        <v>704</v>
      </c>
      <c r="B243" t="s">
        <v>748</v>
      </c>
      <c r="C243" s="29">
        <v>5</v>
      </c>
      <c r="D243" s="29">
        <v>379</v>
      </c>
    </row>
    <row r="244" spans="1:4" x14ac:dyDescent="0.25">
      <c r="A244" s="29">
        <v>1036</v>
      </c>
      <c r="B244" t="s">
        <v>1080</v>
      </c>
      <c r="C244" s="29">
        <v>4</v>
      </c>
      <c r="D244" s="29">
        <v>381</v>
      </c>
    </row>
    <row r="245" spans="1:4" x14ac:dyDescent="0.25">
      <c r="A245" s="29">
        <v>901</v>
      </c>
      <c r="B245" t="s">
        <v>945</v>
      </c>
      <c r="C245" s="29">
        <v>3</v>
      </c>
      <c r="D245" s="29">
        <v>382</v>
      </c>
    </row>
    <row r="246" spans="1:4" x14ac:dyDescent="0.25">
      <c r="A246" s="29">
        <v>479</v>
      </c>
      <c r="B246" t="s">
        <v>523</v>
      </c>
      <c r="C246" s="29">
        <v>1</v>
      </c>
      <c r="D246" s="29">
        <v>386</v>
      </c>
    </row>
    <row r="247" spans="1:4" x14ac:dyDescent="0.25">
      <c r="A247" s="29">
        <v>351</v>
      </c>
      <c r="B247" t="s">
        <v>395</v>
      </c>
      <c r="C247" s="29">
        <v>4</v>
      </c>
      <c r="D247" s="29">
        <v>388</v>
      </c>
    </row>
    <row r="248" spans="1:4" x14ac:dyDescent="0.25">
      <c r="A248" s="29">
        <v>480</v>
      </c>
      <c r="B248" t="s">
        <v>524</v>
      </c>
      <c r="C248" s="29">
        <v>5</v>
      </c>
      <c r="D248" s="29">
        <v>389</v>
      </c>
    </row>
    <row r="249" spans="1:4" x14ac:dyDescent="0.25">
      <c r="A249" s="29">
        <v>1115</v>
      </c>
      <c r="B249" t="s">
        <v>1159</v>
      </c>
      <c r="C249" s="29">
        <v>6</v>
      </c>
      <c r="D249" s="29">
        <v>390</v>
      </c>
    </row>
    <row r="250" spans="1:4" x14ac:dyDescent="0.25">
      <c r="A250" s="29">
        <v>360</v>
      </c>
      <c r="B250" t="s">
        <v>404</v>
      </c>
      <c r="C250" s="29">
        <v>1</v>
      </c>
      <c r="D250" s="29">
        <v>394</v>
      </c>
    </row>
    <row r="251" spans="1:4" x14ac:dyDescent="0.25">
      <c r="A251" s="29">
        <v>761</v>
      </c>
      <c r="B251" t="s">
        <v>805</v>
      </c>
      <c r="C251" s="29">
        <v>2</v>
      </c>
      <c r="D251" s="29">
        <v>394</v>
      </c>
    </row>
    <row r="252" spans="1:4" x14ac:dyDescent="0.25">
      <c r="A252" s="29">
        <v>584</v>
      </c>
      <c r="B252" t="s">
        <v>628</v>
      </c>
      <c r="C252" s="29">
        <v>4</v>
      </c>
      <c r="D252" s="29">
        <v>395</v>
      </c>
    </row>
    <row r="253" spans="1:4" x14ac:dyDescent="0.25">
      <c r="A253" s="29">
        <v>947</v>
      </c>
      <c r="B253" t="s">
        <v>991</v>
      </c>
      <c r="C253" s="29">
        <v>1</v>
      </c>
      <c r="D253" s="29">
        <v>398</v>
      </c>
    </row>
    <row r="254" spans="1:4" x14ac:dyDescent="0.25">
      <c r="A254" s="29">
        <v>578</v>
      </c>
      <c r="B254" t="s">
        <v>622</v>
      </c>
      <c r="C254" s="29">
        <v>1</v>
      </c>
      <c r="D254" s="29">
        <v>399</v>
      </c>
    </row>
    <row r="255" spans="1:4" x14ac:dyDescent="0.25">
      <c r="A255" s="29">
        <v>325</v>
      </c>
      <c r="B255" t="s">
        <v>369</v>
      </c>
      <c r="C255" s="29">
        <v>1</v>
      </c>
      <c r="D255" s="29">
        <v>400</v>
      </c>
    </row>
    <row r="256" spans="1:4" x14ac:dyDescent="0.25">
      <c r="A256" s="29">
        <v>897</v>
      </c>
      <c r="B256" t="s">
        <v>941</v>
      </c>
      <c r="C256" s="29">
        <v>1</v>
      </c>
      <c r="D256" s="29">
        <v>402</v>
      </c>
    </row>
    <row r="257" spans="1:4" x14ac:dyDescent="0.25">
      <c r="A257" s="29">
        <v>571</v>
      </c>
      <c r="B257" t="s">
        <v>615</v>
      </c>
      <c r="C257" s="29">
        <v>2</v>
      </c>
      <c r="D257" s="29">
        <v>403</v>
      </c>
    </row>
    <row r="258" spans="1:4" x14ac:dyDescent="0.25">
      <c r="A258" s="29">
        <v>76</v>
      </c>
      <c r="B258" t="s">
        <v>120</v>
      </c>
      <c r="C258" s="29">
        <v>1</v>
      </c>
      <c r="D258" s="29">
        <v>404</v>
      </c>
    </row>
    <row r="259" spans="1:4" x14ac:dyDescent="0.25">
      <c r="A259" s="29">
        <v>163</v>
      </c>
      <c r="B259" t="s">
        <v>207</v>
      </c>
      <c r="C259" s="29">
        <v>1</v>
      </c>
      <c r="D259" s="29">
        <v>404</v>
      </c>
    </row>
    <row r="260" spans="1:4" x14ac:dyDescent="0.25">
      <c r="A260" s="29">
        <v>11</v>
      </c>
      <c r="B260" t="s">
        <v>55</v>
      </c>
      <c r="C260" s="29">
        <v>1</v>
      </c>
      <c r="D260" s="29">
        <v>405</v>
      </c>
    </row>
    <row r="261" spans="1:4" x14ac:dyDescent="0.25">
      <c r="A261" s="29">
        <v>473</v>
      </c>
      <c r="B261" t="s">
        <v>517</v>
      </c>
      <c r="C261" s="29">
        <v>3</v>
      </c>
      <c r="D261" s="29">
        <v>406</v>
      </c>
    </row>
    <row r="262" spans="1:4" x14ac:dyDescent="0.25">
      <c r="A262" s="29">
        <v>1018</v>
      </c>
      <c r="B262" t="s">
        <v>1062</v>
      </c>
      <c r="C262" s="29">
        <v>1</v>
      </c>
      <c r="D262" s="29">
        <v>406</v>
      </c>
    </row>
    <row r="263" spans="1:4" x14ac:dyDescent="0.25">
      <c r="A263" s="29">
        <v>26</v>
      </c>
      <c r="B263" t="s">
        <v>70</v>
      </c>
      <c r="C263" s="29">
        <v>1</v>
      </c>
      <c r="D263" s="29">
        <v>409</v>
      </c>
    </row>
    <row r="264" spans="1:4" x14ac:dyDescent="0.25">
      <c r="A264" s="29">
        <v>417</v>
      </c>
      <c r="B264" t="s">
        <v>461</v>
      </c>
      <c r="C264" s="29">
        <v>1</v>
      </c>
      <c r="D264" s="29">
        <v>409</v>
      </c>
    </row>
    <row r="265" spans="1:4" x14ac:dyDescent="0.25">
      <c r="A265" s="29">
        <v>1051</v>
      </c>
      <c r="B265" t="s">
        <v>1095</v>
      </c>
      <c r="C265" s="29">
        <v>1</v>
      </c>
      <c r="D265" s="29">
        <v>409</v>
      </c>
    </row>
    <row r="266" spans="1:4" x14ac:dyDescent="0.25">
      <c r="A266" s="29">
        <v>774</v>
      </c>
      <c r="B266" t="s">
        <v>818</v>
      </c>
      <c r="C266" s="29">
        <v>2</v>
      </c>
      <c r="D266" s="29">
        <v>413</v>
      </c>
    </row>
    <row r="267" spans="1:4" x14ac:dyDescent="0.25">
      <c r="A267" s="29">
        <v>735</v>
      </c>
      <c r="B267" t="s">
        <v>779</v>
      </c>
      <c r="C267" s="29">
        <v>1</v>
      </c>
      <c r="D267" s="29">
        <v>417</v>
      </c>
    </row>
    <row r="268" spans="1:4" x14ac:dyDescent="0.25">
      <c r="A268" s="29">
        <v>109</v>
      </c>
      <c r="B268" t="s">
        <v>153</v>
      </c>
      <c r="C268" s="29">
        <v>1</v>
      </c>
      <c r="D268" s="29">
        <v>418</v>
      </c>
    </row>
    <row r="269" spans="1:4" x14ac:dyDescent="0.25">
      <c r="A269" s="29">
        <v>433</v>
      </c>
      <c r="B269" t="s">
        <v>477</v>
      </c>
      <c r="C269" s="29">
        <v>1</v>
      </c>
      <c r="D269" s="29">
        <v>423</v>
      </c>
    </row>
    <row r="270" spans="1:4" x14ac:dyDescent="0.25">
      <c r="A270" s="29">
        <v>617</v>
      </c>
      <c r="B270" t="s">
        <v>661</v>
      </c>
      <c r="C270" s="29">
        <v>5</v>
      </c>
      <c r="D270" s="29">
        <v>423</v>
      </c>
    </row>
    <row r="271" spans="1:4" x14ac:dyDescent="0.25">
      <c r="A271" s="29">
        <v>87</v>
      </c>
      <c r="B271" t="s">
        <v>131</v>
      </c>
      <c r="C271" s="29">
        <v>5</v>
      </c>
      <c r="D271" s="29">
        <v>425</v>
      </c>
    </row>
    <row r="272" spans="1:4" x14ac:dyDescent="0.25">
      <c r="A272" s="29">
        <v>675</v>
      </c>
      <c r="B272" t="s">
        <v>719</v>
      </c>
      <c r="C272" s="29">
        <v>1</v>
      </c>
      <c r="D272" s="29">
        <v>426</v>
      </c>
    </row>
    <row r="273" spans="1:4" x14ac:dyDescent="0.25">
      <c r="A273" s="29">
        <v>824</v>
      </c>
      <c r="B273" t="s">
        <v>868</v>
      </c>
      <c r="C273" s="29">
        <v>5</v>
      </c>
      <c r="D273" s="29">
        <v>435</v>
      </c>
    </row>
    <row r="274" spans="1:4" x14ac:dyDescent="0.25">
      <c r="A274" s="29">
        <v>1080</v>
      </c>
      <c r="B274" t="s">
        <v>1124</v>
      </c>
      <c r="C274" s="29">
        <v>1</v>
      </c>
      <c r="D274" s="29">
        <v>435</v>
      </c>
    </row>
    <row r="275" spans="1:4" x14ac:dyDescent="0.25">
      <c r="A275" s="29">
        <v>690</v>
      </c>
      <c r="B275" t="s">
        <v>734</v>
      </c>
      <c r="C275" s="29">
        <v>3</v>
      </c>
      <c r="D275" s="29">
        <v>436</v>
      </c>
    </row>
    <row r="276" spans="1:4" x14ac:dyDescent="0.25">
      <c r="A276" s="29">
        <v>857</v>
      </c>
      <c r="B276" t="s">
        <v>901</v>
      </c>
      <c r="C276" s="29">
        <v>1</v>
      </c>
      <c r="D276" s="29">
        <v>437</v>
      </c>
    </row>
    <row r="277" spans="1:4" x14ac:dyDescent="0.25">
      <c r="A277" s="29">
        <v>241</v>
      </c>
      <c r="B277" t="s">
        <v>285</v>
      </c>
      <c r="C277" s="29">
        <v>5</v>
      </c>
      <c r="D277" s="29">
        <v>442</v>
      </c>
    </row>
    <row r="278" spans="1:4" x14ac:dyDescent="0.25">
      <c r="A278" s="29">
        <v>687</v>
      </c>
      <c r="B278" t="s">
        <v>731</v>
      </c>
      <c r="C278" s="29">
        <v>1</v>
      </c>
      <c r="D278" s="29">
        <v>442</v>
      </c>
    </row>
    <row r="279" spans="1:4" x14ac:dyDescent="0.25">
      <c r="A279" s="29">
        <v>762</v>
      </c>
      <c r="B279" t="s">
        <v>806</v>
      </c>
      <c r="C279" s="29">
        <v>1</v>
      </c>
      <c r="D279" s="29">
        <v>442</v>
      </c>
    </row>
    <row r="280" spans="1:4" x14ac:dyDescent="0.25">
      <c r="A280" s="29">
        <v>916</v>
      </c>
      <c r="B280" t="s">
        <v>960</v>
      </c>
      <c r="C280" s="29">
        <v>1</v>
      </c>
      <c r="D280" s="29">
        <v>442</v>
      </c>
    </row>
    <row r="281" spans="1:4" x14ac:dyDescent="0.25">
      <c r="A281" s="29">
        <v>1181</v>
      </c>
      <c r="B281" t="s">
        <v>1225</v>
      </c>
      <c r="C281" s="29">
        <v>1</v>
      </c>
      <c r="D281" s="29">
        <v>442</v>
      </c>
    </row>
    <row r="282" spans="1:4" x14ac:dyDescent="0.25">
      <c r="A282" s="29">
        <v>1142</v>
      </c>
      <c r="B282" t="s">
        <v>1186</v>
      </c>
      <c r="C282" s="29">
        <v>1</v>
      </c>
      <c r="D282" s="29">
        <v>443</v>
      </c>
    </row>
    <row r="283" spans="1:4" x14ac:dyDescent="0.25">
      <c r="A283" s="29">
        <v>183</v>
      </c>
      <c r="B283" t="s">
        <v>227</v>
      </c>
      <c r="C283" s="29">
        <v>2</v>
      </c>
      <c r="D283" s="29">
        <v>445</v>
      </c>
    </row>
    <row r="284" spans="1:4" x14ac:dyDescent="0.25">
      <c r="A284" s="29">
        <v>948</v>
      </c>
      <c r="B284" t="s">
        <v>992</v>
      </c>
      <c r="C284" s="29">
        <v>1</v>
      </c>
      <c r="D284" s="29">
        <v>446</v>
      </c>
    </row>
    <row r="285" spans="1:4" x14ac:dyDescent="0.25">
      <c r="A285" s="29">
        <v>22</v>
      </c>
      <c r="B285" t="s">
        <v>66</v>
      </c>
      <c r="C285" s="29">
        <v>1</v>
      </c>
      <c r="D285" s="29">
        <v>448</v>
      </c>
    </row>
    <row r="286" spans="1:4" x14ac:dyDescent="0.25">
      <c r="A286" s="29">
        <v>878</v>
      </c>
      <c r="B286" t="s">
        <v>922</v>
      </c>
      <c r="C286" s="29">
        <v>1</v>
      </c>
      <c r="D286" s="29">
        <v>448</v>
      </c>
    </row>
    <row r="287" spans="1:4" x14ac:dyDescent="0.25">
      <c r="A287" s="29">
        <v>513</v>
      </c>
      <c r="B287" t="s">
        <v>557</v>
      </c>
      <c r="C287" s="29">
        <v>6</v>
      </c>
      <c r="D287" s="29">
        <v>454</v>
      </c>
    </row>
    <row r="288" spans="1:4" x14ac:dyDescent="0.25">
      <c r="A288" s="29">
        <v>1099</v>
      </c>
      <c r="B288" t="s">
        <v>1143</v>
      </c>
      <c r="C288" s="29">
        <v>1</v>
      </c>
      <c r="D288" s="29">
        <v>455</v>
      </c>
    </row>
    <row r="289" spans="1:4" x14ac:dyDescent="0.25">
      <c r="A289" s="29">
        <v>985</v>
      </c>
      <c r="B289" t="s">
        <v>1029</v>
      </c>
      <c r="C289" s="29">
        <v>3</v>
      </c>
      <c r="D289" s="29">
        <v>456</v>
      </c>
    </row>
    <row r="290" spans="1:4" x14ac:dyDescent="0.25">
      <c r="A290" s="29">
        <v>960</v>
      </c>
      <c r="B290" t="s">
        <v>1004</v>
      </c>
      <c r="C290" s="29">
        <v>1</v>
      </c>
      <c r="D290" s="29">
        <v>457</v>
      </c>
    </row>
    <row r="291" spans="1:4" x14ac:dyDescent="0.25">
      <c r="A291" s="29">
        <v>686</v>
      </c>
      <c r="B291" t="s">
        <v>730</v>
      </c>
      <c r="C291" s="29">
        <v>2</v>
      </c>
      <c r="D291" s="29">
        <v>458</v>
      </c>
    </row>
    <row r="292" spans="1:4" x14ac:dyDescent="0.25">
      <c r="A292" s="29">
        <v>272</v>
      </c>
      <c r="B292" t="s">
        <v>316</v>
      </c>
      <c r="C292" s="29">
        <v>4</v>
      </c>
      <c r="D292" s="29">
        <v>459</v>
      </c>
    </row>
    <row r="293" spans="1:4" x14ac:dyDescent="0.25">
      <c r="A293" s="29">
        <v>1021</v>
      </c>
      <c r="B293" t="s">
        <v>1065</v>
      </c>
      <c r="C293" s="29">
        <v>2</v>
      </c>
      <c r="D293" s="29">
        <v>459</v>
      </c>
    </row>
    <row r="294" spans="1:4" x14ac:dyDescent="0.25">
      <c r="A294" s="29">
        <v>348</v>
      </c>
      <c r="B294" t="s">
        <v>392</v>
      </c>
      <c r="C294" s="29">
        <v>1</v>
      </c>
      <c r="D294" s="29">
        <v>460</v>
      </c>
    </row>
    <row r="295" spans="1:4" x14ac:dyDescent="0.25">
      <c r="A295" s="29">
        <v>193</v>
      </c>
      <c r="B295" t="s">
        <v>237</v>
      </c>
      <c r="C295" s="29">
        <v>6</v>
      </c>
      <c r="D295" s="29">
        <v>462</v>
      </c>
    </row>
    <row r="296" spans="1:4" x14ac:dyDescent="0.25">
      <c r="A296" s="29">
        <v>1002</v>
      </c>
      <c r="B296" t="s">
        <v>1046</v>
      </c>
      <c r="C296" s="29">
        <v>1</v>
      </c>
      <c r="D296" s="29">
        <v>468</v>
      </c>
    </row>
    <row r="297" spans="1:4" x14ac:dyDescent="0.25">
      <c r="A297" s="29">
        <v>182</v>
      </c>
      <c r="B297" t="s">
        <v>226</v>
      </c>
      <c r="C297" s="29">
        <v>2</v>
      </c>
      <c r="D297" s="29">
        <v>470</v>
      </c>
    </row>
    <row r="298" spans="1:4" x14ac:dyDescent="0.25">
      <c r="A298" s="29">
        <v>573</v>
      </c>
      <c r="B298" t="s">
        <v>617</v>
      </c>
      <c r="C298" s="29">
        <v>1</v>
      </c>
      <c r="D298" s="29">
        <v>471</v>
      </c>
    </row>
    <row r="299" spans="1:4" x14ac:dyDescent="0.25">
      <c r="A299" s="29">
        <v>995</v>
      </c>
      <c r="B299" t="s">
        <v>1039</v>
      </c>
      <c r="C299" s="29">
        <v>4</v>
      </c>
      <c r="D299" s="29">
        <v>472</v>
      </c>
    </row>
    <row r="300" spans="1:4" x14ac:dyDescent="0.25">
      <c r="A300" s="29">
        <v>1158</v>
      </c>
      <c r="B300" t="s">
        <v>1202</v>
      </c>
      <c r="C300" s="29">
        <v>2</v>
      </c>
      <c r="D300" s="29">
        <v>477</v>
      </c>
    </row>
    <row r="301" spans="1:4" x14ac:dyDescent="0.25">
      <c r="A301" s="29">
        <v>724</v>
      </c>
      <c r="B301" t="s">
        <v>768</v>
      </c>
      <c r="C301" s="29">
        <v>4</v>
      </c>
      <c r="D301" s="29">
        <v>479</v>
      </c>
    </row>
    <row r="302" spans="1:4" x14ac:dyDescent="0.25">
      <c r="A302" s="29">
        <v>1140</v>
      </c>
      <c r="B302" t="s">
        <v>1184</v>
      </c>
      <c r="C302" s="29">
        <v>3</v>
      </c>
      <c r="D302" s="29">
        <v>481</v>
      </c>
    </row>
    <row r="303" spans="1:4" x14ac:dyDescent="0.25">
      <c r="A303" s="29">
        <v>157</v>
      </c>
      <c r="B303" t="s">
        <v>201</v>
      </c>
      <c r="C303" s="29">
        <v>1</v>
      </c>
      <c r="D303" s="29">
        <v>483</v>
      </c>
    </row>
    <row r="304" spans="1:4" x14ac:dyDescent="0.25">
      <c r="A304" s="29">
        <v>939</v>
      </c>
      <c r="B304" t="s">
        <v>983</v>
      </c>
      <c r="C304" s="29">
        <v>2</v>
      </c>
      <c r="D304" s="29">
        <v>483</v>
      </c>
    </row>
    <row r="305" spans="1:4" x14ac:dyDescent="0.25">
      <c r="A305" s="29">
        <v>235</v>
      </c>
      <c r="B305" t="s">
        <v>279</v>
      </c>
      <c r="C305" s="29">
        <v>1</v>
      </c>
      <c r="D305" s="29">
        <v>484</v>
      </c>
    </row>
    <row r="306" spans="1:4" x14ac:dyDescent="0.25">
      <c r="A306" s="29">
        <v>350</v>
      </c>
      <c r="B306" t="s">
        <v>394</v>
      </c>
      <c r="C306" s="29">
        <v>1</v>
      </c>
      <c r="D306" s="29">
        <v>484</v>
      </c>
    </row>
    <row r="307" spans="1:4" x14ac:dyDescent="0.25">
      <c r="A307" s="29">
        <v>844</v>
      </c>
      <c r="B307" t="s">
        <v>888</v>
      </c>
      <c r="C307" s="29">
        <v>1</v>
      </c>
      <c r="D307" s="29">
        <v>487</v>
      </c>
    </row>
    <row r="308" spans="1:4" x14ac:dyDescent="0.25">
      <c r="A308" s="29">
        <v>920</v>
      </c>
      <c r="B308" t="s">
        <v>964</v>
      </c>
      <c r="C308" s="29">
        <v>1</v>
      </c>
      <c r="D308" s="29">
        <v>487</v>
      </c>
    </row>
    <row r="309" spans="1:4" x14ac:dyDescent="0.25">
      <c r="A309" s="29">
        <v>1041</v>
      </c>
      <c r="B309" t="s">
        <v>1085</v>
      </c>
      <c r="C309" s="29">
        <v>1</v>
      </c>
      <c r="D309" s="29">
        <v>489</v>
      </c>
    </row>
    <row r="310" spans="1:4" x14ac:dyDescent="0.25">
      <c r="A310" s="29">
        <v>167</v>
      </c>
      <c r="B310" t="s">
        <v>211</v>
      </c>
      <c r="C310" s="29">
        <v>4</v>
      </c>
      <c r="D310" s="29">
        <v>490</v>
      </c>
    </row>
    <row r="311" spans="1:4" x14ac:dyDescent="0.25">
      <c r="A311" s="29">
        <v>1086</v>
      </c>
      <c r="B311" t="s">
        <v>1130</v>
      </c>
      <c r="C311" s="29">
        <v>1</v>
      </c>
      <c r="D311" s="29">
        <v>490</v>
      </c>
    </row>
    <row r="312" spans="1:4" x14ac:dyDescent="0.25">
      <c r="A312" s="29">
        <v>45</v>
      </c>
      <c r="B312" t="s">
        <v>89</v>
      </c>
      <c r="C312" s="29">
        <v>1</v>
      </c>
      <c r="D312" s="29">
        <v>492</v>
      </c>
    </row>
    <row r="313" spans="1:4" x14ac:dyDescent="0.25">
      <c r="A313" s="29">
        <v>831</v>
      </c>
      <c r="B313" t="s">
        <v>875</v>
      </c>
      <c r="C313" s="29">
        <v>1</v>
      </c>
      <c r="D313" s="29">
        <v>493</v>
      </c>
    </row>
    <row r="314" spans="1:4" x14ac:dyDescent="0.25">
      <c r="A314" s="29">
        <v>9</v>
      </c>
      <c r="B314" t="s">
        <v>51</v>
      </c>
      <c r="C314" s="29">
        <v>1</v>
      </c>
      <c r="D314" s="29">
        <v>494</v>
      </c>
    </row>
    <row r="315" spans="1:4" x14ac:dyDescent="0.25">
      <c r="A315" s="29">
        <v>175</v>
      </c>
      <c r="B315" t="s">
        <v>219</v>
      </c>
      <c r="C315" s="29">
        <v>2</v>
      </c>
      <c r="D315" s="29">
        <v>494</v>
      </c>
    </row>
    <row r="316" spans="1:4" x14ac:dyDescent="0.25">
      <c r="A316" s="29">
        <v>389</v>
      </c>
      <c r="B316" t="s">
        <v>433</v>
      </c>
      <c r="C316" s="29">
        <v>1</v>
      </c>
      <c r="D316" s="29">
        <v>495</v>
      </c>
    </row>
    <row r="317" spans="1:4" x14ac:dyDescent="0.25">
      <c r="A317" s="29">
        <v>287</v>
      </c>
      <c r="B317" t="s">
        <v>331</v>
      </c>
      <c r="C317" s="29">
        <v>1</v>
      </c>
      <c r="D317" s="29">
        <v>496</v>
      </c>
    </row>
    <row r="318" spans="1:4" x14ac:dyDescent="0.25">
      <c r="A318" s="29">
        <v>659</v>
      </c>
      <c r="B318" t="s">
        <v>703</v>
      </c>
      <c r="C318" s="29">
        <v>1</v>
      </c>
      <c r="D318" s="29">
        <v>497</v>
      </c>
    </row>
    <row r="319" spans="1:4" x14ac:dyDescent="0.25">
      <c r="A319" s="29">
        <v>894</v>
      </c>
      <c r="B319" t="s">
        <v>938</v>
      </c>
      <c r="C319" s="29">
        <v>1</v>
      </c>
      <c r="D319" s="29">
        <v>500</v>
      </c>
    </row>
    <row r="320" spans="1:4" x14ac:dyDescent="0.25">
      <c r="A320" s="29">
        <v>82</v>
      </c>
      <c r="B320" t="s">
        <v>126</v>
      </c>
      <c r="C320" s="29">
        <v>4</v>
      </c>
      <c r="D320" s="29">
        <v>501</v>
      </c>
    </row>
    <row r="321" spans="1:4" x14ac:dyDescent="0.25">
      <c r="A321" s="29">
        <v>1073</v>
      </c>
      <c r="B321" t="s">
        <v>1117</v>
      </c>
      <c r="C321" s="29">
        <v>1</v>
      </c>
      <c r="D321" s="29">
        <v>504</v>
      </c>
    </row>
    <row r="322" spans="1:4" x14ac:dyDescent="0.25">
      <c r="A322" s="29">
        <v>230</v>
      </c>
      <c r="B322" t="s">
        <v>274</v>
      </c>
      <c r="C322" s="29">
        <v>1</v>
      </c>
      <c r="D322" s="29">
        <v>511</v>
      </c>
    </row>
    <row r="323" spans="1:4" x14ac:dyDescent="0.25">
      <c r="A323" s="29">
        <v>966</v>
      </c>
      <c r="B323" t="s">
        <v>1010</v>
      </c>
      <c r="C323" s="29">
        <v>3</v>
      </c>
      <c r="D323" s="29">
        <v>511</v>
      </c>
    </row>
    <row r="324" spans="1:4" x14ac:dyDescent="0.25">
      <c r="A324" s="29">
        <v>429</v>
      </c>
      <c r="B324" t="s">
        <v>473</v>
      </c>
      <c r="C324" s="29">
        <v>1</v>
      </c>
      <c r="D324" s="29">
        <v>513</v>
      </c>
    </row>
    <row r="325" spans="1:4" x14ac:dyDescent="0.25">
      <c r="A325" s="29">
        <v>475</v>
      </c>
      <c r="B325" t="s">
        <v>519</v>
      </c>
      <c r="C325" s="29">
        <v>1</v>
      </c>
      <c r="D325" s="29">
        <v>514</v>
      </c>
    </row>
    <row r="326" spans="1:4" x14ac:dyDescent="0.25">
      <c r="A326" s="29">
        <v>499</v>
      </c>
      <c r="B326" t="s">
        <v>543</v>
      </c>
      <c r="C326" s="29">
        <v>1</v>
      </c>
      <c r="D326" s="29">
        <v>516</v>
      </c>
    </row>
    <row r="327" spans="1:4" x14ac:dyDescent="0.25">
      <c r="A327" s="29">
        <v>43</v>
      </c>
      <c r="B327" t="s">
        <v>87</v>
      </c>
      <c r="C327" s="29">
        <v>1</v>
      </c>
      <c r="D327" s="29">
        <v>520</v>
      </c>
    </row>
    <row r="328" spans="1:4" x14ac:dyDescent="0.25">
      <c r="A328" s="29">
        <v>485</v>
      </c>
      <c r="B328" t="s">
        <v>529</v>
      </c>
      <c r="C328" s="29">
        <v>2</v>
      </c>
      <c r="D328" s="29">
        <v>520</v>
      </c>
    </row>
    <row r="329" spans="1:4" x14ac:dyDescent="0.25">
      <c r="A329" s="29">
        <v>517</v>
      </c>
      <c r="B329" t="s">
        <v>561</v>
      </c>
      <c r="C329" s="29">
        <v>1</v>
      </c>
      <c r="D329" s="29">
        <v>522</v>
      </c>
    </row>
    <row r="330" spans="1:4" x14ac:dyDescent="0.25">
      <c r="A330" s="29">
        <v>539</v>
      </c>
      <c r="B330" t="s">
        <v>583</v>
      </c>
      <c r="C330" s="29">
        <v>2</v>
      </c>
      <c r="D330" s="29">
        <v>522</v>
      </c>
    </row>
    <row r="331" spans="1:4" x14ac:dyDescent="0.25">
      <c r="A331" s="29">
        <v>343</v>
      </c>
      <c r="B331" t="s">
        <v>387</v>
      </c>
      <c r="C331" s="29">
        <v>3</v>
      </c>
      <c r="D331" s="29">
        <v>523</v>
      </c>
    </row>
    <row r="332" spans="1:4" x14ac:dyDescent="0.25">
      <c r="A332" s="29">
        <v>580</v>
      </c>
      <c r="B332" t="s">
        <v>624</v>
      </c>
      <c r="C332" s="29">
        <v>1</v>
      </c>
      <c r="D332" s="29">
        <v>524</v>
      </c>
    </row>
    <row r="333" spans="1:4" x14ac:dyDescent="0.25">
      <c r="A333" s="29">
        <v>406</v>
      </c>
      <c r="B333" t="s">
        <v>450</v>
      </c>
      <c r="C333" s="29">
        <v>2</v>
      </c>
      <c r="D333" s="29">
        <v>525</v>
      </c>
    </row>
    <row r="334" spans="1:4" x14ac:dyDescent="0.25">
      <c r="A334" s="29">
        <v>589</v>
      </c>
      <c r="B334" t="s">
        <v>633</v>
      </c>
      <c r="C334" s="29">
        <v>1</v>
      </c>
      <c r="D334" s="29">
        <v>526</v>
      </c>
    </row>
    <row r="335" spans="1:4" x14ac:dyDescent="0.25">
      <c r="A335" s="29">
        <v>651</v>
      </c>
      <c r="B335" t="s">
        <v>695</v>
      </c>
      <c r="C335" s="29">
        <v>2</v>
      </c>
      <c r="D335" s="29">
        <v>526</v>
      </c>
    </row>
    <row r="336" spans="1:4" x14ac:dyDescent="0.25">
      <c r="A336" s="29">
        <v>284</v>
      </c>
      <c r="B336" t="s">
        <v>328</v>
      </c>
      <c r="C336" s="29">
        <v>1</v>
      </c>
      <c r="D336" s="29">
        <v>527</v>
      </c>
    </row>
    <row r="337" spans="1:4" x14ac:dyDescent="0.25">
      <c r="A337" s="29">
        <v>494</v>
      </c>
      <c r="B337" t="s">
        <v>538</v>
      </c>
      <c r="C337" s="29">
        <v>1</v>
      </c>
      <c r="D337" s="29">
        <v>529</v>
      </c>
    </row>
    <row r="338" spans="1:4" x14ac:dyDescent="0.25">
      <c r="A338" s="29">
        <v>1025</v>
      </c>
      <c r="B338" t="s">
        <v>1069</v>
      </c>
      <c r="C338" s="29">
        <v>5</v>
      </c>
      <c r="D338" s="29">
        <v>529</v>
      </c>
    </row>
    <row r="339" spans="1:4" x14ac:dyDescent="0.25">
      <c r="A339" s="29">
        <v>216</v>
      </c>
      <c r="B339" t="s">
        <v>260</v>
      </c>
      <c r="C339" s="29">
        <v>3</v>
      </c>
      <c r="D339" s="29">
        <v>530</v>
      </c>
    </row>
    <row r="340" spans="1:4" x14ac:dyDescent="0.25">
      <c r="A340" s="29">
        <v>122</v>
      </c>
      <c r="B340" t="s">
        <v>166</v>
      </c>
      <c r="C340" s="29">
        <v>1</v>
      </c>
      <c r="D340" s="29">
        <v>532</v>
      </c>
    </row>
    <row r="341" spans="1:4" x14ac:dyDescent="0.25">
      <c r="A341" s="29">
        <v>922</v>
      </c>
      <c r="B341" t="s">
        <v>966</v>
      </c>
      <c r="C341" s="29">
        <v>1</v>
      </c>
      <c r="D341" s="29">
        <v>536</v>
      </c>
    </row>
    <row r="342" spans="1:4" x14ac:dyDescent="0.25">
      <c r="A342" s="29">
        <v>999</v>
      </c>
      <c r="B342" t="s">
        <v>1043</v>
      </c>
      <c r="C342" s="29">
        <v>1</v>
      </c>
      <c r="D342" s="29">
        <v>539</v>
      </c>
    </row>
    <row r="343" spans="1:4" x14ac:dyDescent="0.25">
      <c r="A343" s="29">
        <v>1130</v>
      </c>
      <c r="B343" t="s">
        <v>1174</v>
      </c>
      <c r="C343" s="29">
        <v>1</v>
      </c>
      <c r="D343" s="29">
        <v>539</v>
      </c>
    </row>
    <row r="344" spans="1:4" x14ac:dyDescent="0.25">
      <c r="A344" s="29">
        <v>980</v>
      </c>
      <c r="B344" t="s">
        <v>1024</v>
      </c>
      <c r="C344" s="29">
        <v>1</v>
      </c>
      <c r="D344" s="29">
        <v>542</v>
      </c>
    </row>
    <row r="345" spans="1:4" x14ac:dyDescent="0.25">
      <c r="A345" s="29">
        <v>981</v>
      </c>
      <c r="B345" t="s">
        <v>1025</v>
      </c>
      <c r="C345" s="29">
        <v>2</v>
      </c>
      <c r="D345" s="29">
        <v>543</v>
      </c>
    </row>
    <row r="346" spans="1:4" x14ac:dyDescent="0.25">
      <c r="A346" s="29">
        <v>1049</v>
      </c>
      <c r="B346" t="s">
        <v>1093</v>
      </c>
      <c r="C346" s="29">
        <v>1</v>
      </c>
      <c r="D346" s="29">
        <v>544</v>
      </c>
    </row>
    <row r="347" spans="1:4" x14ac:dyDescent="0.25">
      <c r="A347" s="29">
        <v>258</v>
      </c>
      <c r="B347" t="s">
        <v>302</v>
      </c>
      <c r="C347" s="29">
        <v>1</v>
      </c>
      <c r="D347" s="29">
        <v>548</v>
      </c>
    </row>
    <row r="348" spans="1:4" x14ac:dyDescent="0.25">
      <c r="A348" s="29">
        <v>679</v>
      </c>
      <c r="B348" t="s">
        <v>723</v>
      </c>
      <c r="C348" s="29">
        <v>1</v>
      </c>
      <c r="D348" s="29">
        <v>548</v>
      </c>
    </row>
    <row r="349" spans="1:4" x14ac:dyDescent="0.25">
      <c r="A349" s="29">
        <v>275</v>
      </c>
      <c r="B349" t="s">
        <v>319</v>
      </c>
      <c r="C349" s="29">
        <v>6</v>
      </c>
      <c r="D349" s="29">
        <v>549</v>
      </c>
    </row>
    <row r="350" spans="1:4" x14ac:dyDescent="0.25">
      <c r="A350" s="29">
        <v>859</v>
      </c>
      <c r="B350" t="s">
        <v>903</v>
      </c>
      <c r="C350" s="29">
        <v>1</v>
      </c>
      <c r="D350" s="29">
        <v>549</v>
      </c>
    </row>
    <row r="351" spans="1:4" x14ac:dyDescent="0.25">
      <c r="A351" s="29">
        <v>28</v>
      </c>
      <c r="B351" t="s">
        <v>72</v>
      </c>
      <c r="C351" s="29">
        <v>4</v>
      </c>
      <c r="D351" s="29">
        <v>551</v>
      </c>
    </row>
    <row r="352" spans="1:4" x14ac:dyDescent="0.25">
      <c r="A352" s="29">
        <v>847</v>
      </c>
      <c r="B352" t="s">
        <v>891</v>
      </c>
      <c r="C352" s="29">
        <v>6</v>
      </c>
      <c r="D352" s="29">
        <v>551</v>
      </c>
    </row>
    <row r="353" spans="1:4" x14ac:dyDescent="0.25">
      <c r="A353" s="29">
        <v>373</v>
      </c>
      <c r="B353" t="s">
        <v>417</v>
      </c>
      <c r="C353" s="29">
        <v>6</v>
      </c>
      <c r="D353" s="29">
        <v>553</v>
      </c>
    </row>
    <row r="354" spans="1:4" x14ac:dyDescent="0.25">
      <c r="A354" s="29">
        <v>913</v>
      </c>
      <c r="B354" t="s">
        <v>957</v>
      </c>
      <c r="C354" s="29">
        <v>1</v>
      </c>
      <c r="D354" s="29">
        <v>556</v>
      </c>
    </row>
    <row r="355" spans="1:4" x14ac:dyDescent="0.25">
      <c r="A355" s="29">
        <v>1008</v>
      </c>
      <c r="B355" t="s">
        <v>1052</v>
      </c>
      <c r="C355" s="29">
        <v>2</v>
      </c>
      <c r="D355" s="29">
        <v>557</v>
      </c>
    </row>
    <row r="356" spans="1:4" x14ac:dyDescent="0.25">
      <c r="A356" s="29">
        <v>851</v>
      </c>
      <c r="B356" t="s">
        <v>895</v>
      </c>
      <c r="C356" s="29">
        <v>1</v>
      </c>
      <c r="D356" s="29">
        <v>558</v>
      </c>
    </row>
    <row r="357" spans="1:4" x14ac:dyDescent="0.25">
      <c r="A357" s="29">
        <v>715</v>
      </c>
      <c r="B357" t="s">
        <v>759</v>
      </c>
      <c r="C357" s="29">
        <v>1</v>
      </c>
      <c r="D357" s="29">
        <v>566</v>
      </c>
    </row>
    <row r="358" spans="1:4" x14ac:dyDescent="0.25">
      <c r="A358" s="29">
        <v>401</v>
      </c>
      <c r="B358" t="s">
        <v>445</v>
      </c>
      <c r="C358" s="29">
        <v>1</v>
      </c>
      <c r="D358" s="29">
        <v>568</v>
      </c>
    </row>
    <row r="359" spans="1:4" x14ac:dyDescent="0.25">
      <c r="A359" s="29">
        <v>1037</v>
      </c>
      <c r="B359" t="s">
        <v>1081</v>
      </c>
      <c r="C359" s="29">
        <v>1</v>
      </c>
      <c r="D359" s="29">
        <v>569</v>
      </c>
    </row>
    <row r="360" spans="1:4" x14ac:dyDescent="0.25">
      <c r="A360" s="29">
        <v>561</v>
      </c>
      <c r="B360" t="s">
        <v>605</v>
      </c>
      <c r="C360" s="29">
        <v>2</v>
      </c>
      <c r="D360" s="29">
        <v>570</v>
      </c>
    </row>
    <row r="361" spans="1:4" x14ac:dyDescent="0.25">
      <c r="A361" s="29">
        <v>752</v>
      </c>
      <c r="B361" t="s">
        <v>796</v>
      </c>
      <c r="C361" s="29">
        <v>1</v>
      </c>
      <c r="D361" s="29">
        <v>570</v>
      </c>
    </row>
    <row r="362" spans="1:4" x14ac:dyDescent="0.25">
      <c r="A362" s="29">
        <v>990</v>
      </c>
      <c r="B362" t="s">
        <v>1034</v>
      </c>
      <c r="C362" s="29">
        <v>5</v>
      </c>
      <c r="D362" s="29">
        <v>574</v>
      </c>
    </row>
    <row r="363" spans="1:4" x14ac:dyDescent="0.25">
      <c r="A363" s="29">
        <v>719</v>
      </c>
      <c r="B363" t="s">
        <v>763</v>
      </c>
      <c r="C363" s="29">
        <v>1</v>
      </c>
      <c r="D363" s="29">
        <v>575</v>
      </c>
    </row>
    <row r="364" spans="1:4" x14ac:dyDescent="0.25">
      <c r="A364" s="29">
        <v>390</v>
      </c>
      <c r="B364" t="s">
        <v>434</v>
      </c>
      <c r="C364" s="29">
        <v>1</v>
      </c>
      <c r="D364" s="29">
        <v>578</v>
      </c>
    </row>
    <row r="365" spans="1:4" x14ac:dyDescent="0.25">
      <c r="A365" s="29">
        <v>583</v>
      </c>
      <c r="B365" t="s">
        <v>627</v>
      </c>
      <c r="C365" s="29">
        <v>2</v>
      </c>
      <c r="D365" s="29">
        <v>582</v>
      </c>
    </row>
    <row r="366" spans="1:4" x14ac:dyDescent="0.25">
      <c r="A366" s="29">
        <v>560</v>
      </c>
      <c r="B366" t="s">
        <v>604</v>
      </c>
      <c r="C366" s="29">
        <v>1</v>
      </c>
      <c r="D366" s="29">
        <v>585</v>
      </c>
    </row>
    <row r="367" spans="1:4" x14ac:dyDescent="0.25">
      <c r="A367" s="29">
        <v>793</v>
      </c>
      <c r="B367" t="s">
        <v>837</v>
      </c>
      <c r="C367" s="29">
        <v>1</v>
      </c>
      <c r="D367" s="29">
        <v>587</v>
      </c>
    </row>
    <row r="368" spans="1:4" x14ac:dyDescent="0.25">
      <c r="A368" s="29">
        <v>616</v>
      </c>
      <c r="B368" t="s">
        <v>660</v>
      </c>
      <c r="C368" s="29">
        <v>2</v>
      </c>
      <c r="D368" s="29">
        <v>588</v>
      </c>
    </row>
    <row r="369" spans="1:4" x14ac:dyDescent="0.25">
      <c r="A369" s="29">
        <v>100</v>
      </c>
      <c r="B369" t="s">
        <v>144</v>
      </c>
      <c r="C369" s="29">
        <v>1</v>
      </c>
      <c r="D369" s="29">
        <v>590</v>
      </c>
    </row>
    <row r="370" spans="1:4" x14ac:dyDescent="0.25">
      <c r="A370" s="29">
        <v>814</v>
      </c>
      <c r="B370" t="s">
        <v>858</v>
      </c>
      <c r="C370" s="29">
        <v>1</v>
      </c>
      <c r="D370" s="29">
        <v>590</v>
      </c>
    </row>
    <row r="371" spans="1:4" x14ac:dyDescent="0.25">
      <c r="A371" s="29">
        <v>1113</v>
      </c>
      <c r="B371" t="s">
        <v>1157</v>
      </c>
      <c r="C371" s="29">
        <v>5</v>
      </c>
      <c r="D371" s="29">
        <v>591</v>
      </c>
    </row>
    <row r="372" spans="1:4" x14ac:dyDescent="0.25">
      <c r="A372" s="29">
        <v>876</v>
      </c>
      <c r="B372" t="s">
        <v>920</v>
      </c>
      <c r="C372" s="29">
        <v>2</v>
      </c>
      <c r="D372" s="29">
        <v>593</v>
      </c>
    </row>
    <row r="373" spans="1:4" x14ac:dyDescent="0.25">
      <c r="A373" s="29">
        <v>877</v>
      </c>
      <c r="B373" t="s">
        <v>921</v>
      </c>
      <c r="C373" s="29">
        <v>1</v>
      </c>
      <c r="D373" s="29">
        <v>593</v>
      </c>
    </row>
    <row r="374" spans="1:4" x14ac:dyDescent="0.25">
      <c r="A374" s="29">
        <v>626</v>
      </c>
      <c r="B374" t="s">
        <v>670</v>
      </c>
      <c r="C374" s="29">
        <v>2</v>
      </c>
      <c r="D374" s="29">
        <v>596</v>
      </c>
    </row>
    <row r="375" spans="1:4" x14ac:dyDescent="0.25">
      <c r="A375" s="29">
        <v>337</v>
      </c>
      <c r="B375" t="s">
        <v>381</v>
      </c>
      <c r="C375" s="29">
        <v>1</v>
      </c>
      <c r="D375" s="29">
        <v>600</v>
      </c>
    </row>
    <row r="376" spans="1:4" x14ac:dyDescent="0.25">
      <c r="A376" s="29">
        <v>52</v>
      </c>
      <c r="B376" t="s">
        <v>96</v>
      </c>
      <c r="C376" s="29">
        <v>2</v>
      </c>
      <c r="D376" s="29">
        <v>603</v>
      </c>
    </row>
    <row r="377" spans="1:4" x14ac:dyDescent="0.25">
      <c r="A377" s="29">
        <v>144</v>
      </c>
      <c r="B377" t="s">
        <v>188</v>
      </c>
      <c r="C377" s="29">
        <v>5</v>
      </c>
      <c r="D377" s="29">
        <v>603</v>
      </c>
    </row>
    <row r="378" spans="1:4" x14ac:dyDescent="0.25">
      <c r="A378" s="29">
        <v>55</v>
      </c>
      <c r="B378" t="s">
        <v>99</v>
      </c>
      <c r="C378" s="29">
        <v>3</v>
      </c>
      <c r="D378" s="29">
        <v>605</v>
      </c>
    </row>
    <row r="379" spans="1:4" x14ac:dyDescent="0.25">
      <c r="A379" s="29">
        <v>828</v>
      </c>
      <c r="B379" t="s">
        <v>872</v>
      </c>
      <c r="C379" s="29">
        <v>2</v>
      </c>
      <c r="D379" s="29">
        <v>608</v>
      </c>
    </row>
    <row r="380" spans="1:4" x14ac:dyDescent="0.25">
      <c r="A380" s="29">
        <v>305</v>
      </c>
      <c r="B380" t="s">
        <v>349</v>
      </c>
      <c r="C380" s="29">
        <v>1</v>
      </c>
      <c r="D380" s="29">
        <v>609</v>
      </c>
    </row>
    <row r="381" spans="1:4" x14ac:dyDescent="0.25">
      <c r="A381" s="29">
        <v>44</v>
      </c>
      <c r="B381" t="s">
        <v>88</v>
      </c>
      <c r="C381" s="29">
        <v>1</v>
      </c>
      <c r="D381" s="29">
        <v>613</v>
      </c>
    </row>
    <row r="382" spans="1:4" x14ac:dyDescent="0.25">
      <c r="A382" s="29">
        <v>194</v>
      </c>
      <c r="B382" t="s">
        <v>238</v>
      </c>
      <c r="C382" s="29">
        <v>6</v>
      </c>
      <c r="D382" s="29">
        <v>613</v>
      </c>
    </row>
    <row r="383" spans="1:4" x14ac:dyDescent="0.25">
      <c r="A383" s="29">
        <v>1139</v>
      </c>
      <c r="B383" t="s">
        <v>1183</v>
      </c>
      <c r="C383" s="29">
        <v>1</v>
      </c>
      <c r="D383" s="29">
        <v>614</v>
      </c>
    </row>
    <row r="384" spans="1:4" x14ac:dyDescent="0.25">
      <c r="A384" s="29">
        <v>882</v>
      </c>
      <c r="B384" t="s">
        <v>926</v>
      </c>
      <c r="C384" s="29">
        <v>1</v>
      </c>
      <c r="D384" s="29">
        <v>615</v>
      </c>
    </row>
    <row r="385" spans="1:4" x14ac:dyDescent="0.25">
      <c r="A385" s="29">
        <v>871</v>
      </c>
      <c r="B385" t="s">
        <v>915</v>
      </c>
      <c r="C385" s="29">
        <v>6</v>
      </c>
      <c r="D385" s="29">
        <v>617</v>
      </c>
    </row>
    <row r="386" spans="1:4" x14ac:dyDescent="0.25">
      <c r="A386" s="29">
        <v>1009</v>
      </c>
      <c r="B386" t="s">
        <v>1053</v>
      </c>
      <c r="C386" s="29">
        <v>1</v>
      </c>
      <c r="D386" s="29">
        <v>618</v>
      </c>
    </row>
    <row r="387" spans="1:4" x14ac:dyDescent="0.25">
      <c r="A387" s="29">
        <v>1030</v>
      </c>
      <c r="B387" t="s">
        <v>1074</v>
      </c>
      <c r="C387" s="29">
        <v>1</v>
      </c>
      <c r="D387" s="29">
        <v>620</v>
      </c>
    </row>
    <row r="388" spans="1:4" x14ac:dyDescent="0.25">
      <c r="A388" s="29">
        <v>40</v>
      </c>
      <c r="B388" t="s">
        <v>84</v>
      </c>
      <c r="C388" s="29">
        <v>3</v>
      </c>
      <c r="D388" s="29">
        <v>621</v>
      </c>
    </row>
    <row r="389" spans="1:4" x14ac:dyDescent="0.25">
      <c r="A389" s="29">
        <v>858</v>
      </c>
      <c r="B389" t="s">
        <v>902</v>
      </c>
      <c r="C389" s="29">
        <v>1</v>
      </c>
      <c r="D389" s="29">
        <v>622</v>
      </c>
    </row>
    <row r="390" spans="1:4" x14ac:dyDescent="0.25">
      <c r="A390" s="29">
        <v>705</v>
      </c>
      <c r="B390" t="s">
        <v>749</v>
      </c>
      <c r="C390" s="29">
        <v>1</v>
      </c>
      <c r="D390" s="29">
        <v>623</v>
      </c>
    </row>
    <row r="391" spans="1:4" x14ac:dyDescent="0.25">
      <c r="A391" s="29">
        <v>997</v>
      </c>
      <c r="B391" t="s">
        <v>1041</v>
      </c>
      <c r="C391" s="29">
        <v>1</v>
      </c>
      <c r="D391" s="29">
        <v>623</v>
      </c>
    </row>
    <row r="392" spans="1:4" x14ac:dyDescent="0.25">
      <c r="A392" s="29">
        <v>514</v>
      </c>
      <c r="B392" t="s">
        <v>558</v>
      </c>
      <c r="C392" s="29">
        <v>1</v>
      </c>
      <c r="D392" s="29">
        <v>624</v>
      </c>
    </row>
    <row r="393" spans="1:4" x14ac:dyDescent="0.25">
      <c r="A393" s="29">
        <v>8</v>
      </c>
      <c r="B393" t="s">
        <v>49</v>
      </c>
      <c r="C393" s="29">
        <v>1</v>
      </c>
      <c r="D393" s="29">
        <v>626</v>
      </c>
    </row>
    <row r="394" spans="1:4" x14ac:dyDescent="0.25">
      <c r="A394" s="29">
        <v>1</v>
      </c>
      <c r="B394" t="s">
        <v>37</v>
      </c>
      <c r="C394" s="29">
        <v>2</v>
      </c>
      <c r="D394" s="29">
        <v>629</v>
      </c>
    </row>
    <row r="395" spans="1:4" x14ac:dyDescent="0.25">
      <c r="A395" s="29">
        <v>242</v>
      </c>
      <c r="B395" t="s">
        <v>286</v>
      </c>
      <c r="C395" s="29">
        <v>1</v>
      </c>
      <c r="D395" s="29">
        <v>629</v>
      </c>
    </row>
    <row r="396" spans="1:4" x14ac:dyDescent="0.25">
      <c r="A396" s="29">
        <v>42</v>
      </c>
      <c r="B396" t="s">
        <v>86</v>
      </c>
      <c r="C396" s="29">
        <v>1</v>
      </c>
      <c r="D396" s="29">
        <v>634</v>
      </c>
    </row>
    <row r="397" spans="1:4" x14ac:dyDescent="0.25">
      <c r="A397" s="29">
        <v>1077</v>
      </c>
      <c r="B397" t="s">
        <v>1121</v>
      </c>
      <c r="C397" s="29">
        <v>1</v>
      </c>
      <c r="D397" s="29">
        <v>639</v>
      </c>
    </row>
    <row r="398" spans="1:4" x14ac:dyDescent="0.25">
      <c r="A398" s="29">
        <v>92</v>
      </c>
      <c r="B398" t="s">
        <v>136</v>
      </c>
      <c r="C398" s="29">
        <v>2</v>
      </c>
      <c r="D398" s="29">
        <v>642</v>
      </c>
    </row>
    <row r="399" spans="1:4" x14ac:dyDescent="0.25">
      <c r="A399" s="29">
        <v>422</v>
      </c>
      <c r="B399" t="s">
        <v>466</v>
      </c>
      <c r="C399" s="29">
        <v>1</v>
      </c>
      <c r="D399" s="29">
        <v>642</v>
      </c>
    </row>
    <row r="400" spans="1:4" x14ac:dyDescent="0.25">
      <c r="A400" s="29">
        <v>65</v>
      </c>
      <c r="B400" t="s">
        <v>109</v>
      </c>
      <c r="C400" s="29">
        <v>5</v>
      </c>
      <c r="D400" s="29">
        <v>643</v>
      </c>
    </row>
    <row r="401" spans="1:4" x14ac:dyDescent="0.25">
      <c r="A401" s="29">
        <v>375</v>
      </c>
      <c r="B401" t="s">
        <v>419</v>
      </c>
      <c r="C401" s="29">
        <v>1</v>
      </c>
      <c r="D401" s="29">
        <v>644</v>
      </c>
    </row>
    <row r="402" spans="1:4" x14ac:dyDescent="0.25">
      <c r="A402" s="29">
        <v>504</v>
      </c>
      <c r="B402" t="s">
        <v>548</v>
      </c>
      <c r="C402" s="29">
        <v>5</v>
      </c>
      <c r="D402" s="29">
        <v>644</v>
      </c>
    </row>
    <row r="403" spans="1:4" x14ac:dyDescent="0.25">
      <c r="A403" s="29">
        <v>1024</v>
      </c>
      <c r="B403" t="s">
        <v>1068</v>
      </c>
      <c r="C403" s="29">
        <v>4</v>
      </c>
      <c r="D403" s="29">
        <v>644</v>
      </c>
    </row>
    <row r="404" spans="1:4" x14ac:dyDescent="0.25">
      <c r="A404" s="29">
        <v>951</v>
      </c>
      <c r="B404" t="s">
        <v>995</v>
      </c>
      <c r="C404" s="29">
        <v>1</v>
      </c>
      <c r="D404" s="29">
        <v>647</v>
      </c>
    </row>
    <row r="405" spans="1:4" x14ac:dyDescent="0.25">
      <c r="A405" s="29">
        <v>172</v>
      </c>
      <c r="B405" t="s">
        <v>216</v>
      </c>
      <c r="C405" s="29">
        <v>1</v>
      </c>
      <c r="D405" s="29">
        <v>648</v>
      </c>
    </row>
    <row r="406" spans="1:4" x14ac:dyDescent="0.25">
      <c r="A406" s="29">
        <v>971</v>
      </c>
      <c r="B406" t="s">
        <v>1015</v>
      </c>
      <c r="C406" s="29">
        <v>3</v>
      </c>
      <c r="D406" s="29">
        <v>651</v>
      </c>
    </row>
    <row r="407" spans="1:4" x14ac:dyDescent="0.25">
      <c r="A407" s="29">
        <v>612</v>
      </c>
      <c r="B407" t="s">
        <v>656</v>
      </c>
      <c r="C407" s="29">
        <v>1</v>
      </c>
      <c r="D407" s="29">
        <v>654</v>
      </c>
    </row>
    <row r="408" spans="1:4" x14ac:dyDescent="0.25">
      <c r="A408" s="29">
        <v>446</v>
      </c>
      <c r="B408" t="s">
        <v>490</v>
      </c>
      <c r="C408" s="29">
        <v>1</v>
      </c>
      <c r="D408" s="29">
        <v>658</v>
      </c>
    </row>
    <row r="409" spans="1:4" x14ac:dyDescent="0.25">
      <c r="A409" s="29">
        <v>342</v>
      </c>
      <c r="B409" t="s">
        <v>386</v>
      </c>
      <c r="C409" s="29">
        <v>1</v>
      </c>
      <c r="D409" s="29">
        <v>659</v>
      </c>
    </row>
    <row r="410" spans="1:4" x14ac:dyDescent="0.25">
      <c r="A410" s="29">
        <v>520</v>
      </c>
      <c r="B410" t="s">
        <v>564</v>
      </c>
      <c r="C410" s="29">
        <v>1</v>
      </c>
      <c r="D410" s="29">
        <v>659</v>
      </c>
    </row>
    <row r="411" spans="1:4" x14ac:dyDescent="0.25">
      <c r="A411" s="29">
        <v>605</v>
      </c>
      <c r="B411" t="s">
        <v>649</v>
      </c>
      <c r="C411" s="29">
        <v>1</v>
      </c>
      <c r="D411" s="29">
        <v>661</v>
      </c>
    </row>
    <row r="412" spans="1:4" x14ac:dyDescent="0.25">
      <c r="A412" s="29">
        <v>229</v>
      </c>
      <c r="B412" t="s">
        <v>273</v>
      </c>
      <c r="C412" s="29">
        <v>5</v>
      </c>
      <c r="D412" s="29">
        <v>663</v>
      </c>
    </row>
    <row r="413" spans="1:4" x14ac:dyDescent="0.25">
      <c r="A413" s="29">
        <v>451</v>
      </c>
      <c r="B413" t="s">
        <v>495</v>
      </c>
      <c r="C413" s="29">
        <v>1</v>
      </c>
      <c r="D413" s="29">
        <v>664</v>
      </c>
    </row>
    <row r="414" spans="1:4" x14ac:dyDescent="0.25">
      <c r="A414" s="29">
        <v>452</v>
      </c>
      <c r="B414" t="s">
        <v>496</v>
      </c>
      <c r="C414" s="29">
        <v>4</v>
      </c>
      <c r="D414" s="29">
        <v>665</v>
      </c>
    </row>
    <row r="415" spans="1:4" x14ac:dyDescent="0.25">
      <c r="A415" s="29">
        <v>598</v>
      </c>
      <c r="B415" t="s">
        <v>642</v>
      </c>
      <c r="C415" s="29">
        <v>3</v>
      </c>
      <c r="D415" s="29">
        <v>665</v>
      </c>
    </row>
    <row r="416" spans="1:4" x14ac:dyDescent="0.25">
      <c r="A416" s="29">
        <v>912</v>
      </c>
      <c r="B416" t="s">
        <v>956</v>
      </c>
      <c r="C416" s="29">
        <v>2</v>
      </c>
      <c r="D416" s="29">
        <v>666</v>
      </c>
    </row>
    <row r="417" spans="1:4" x14ac:dyDescent="0.25">
      <c r="A417" s="29">
        <v>104</v>
      </c>
      <c r="B417" t="s">
        <v>148</v>
      </c>
      <c r="C417" s="29">
        <v>5</v>
      </c>
      <c r="D417" s="29">
        <v>667</v>
      </c>
    </row>
    <row r="418" spans="1:4" x14ac:dyDescent="0.25">
      <c r="A418" s="29">
        <v>1013</v>
      </c>
      <c r="B418" t="s">
        <v>1057</v>
      </c>
      <c r="C418" s="29">
        <v>1</v>
      </c>
      <c r="D418" s="29">
        <v>667</v>
      </c>
    </row>
    <row r="419" spans="1:4" x14ac:dyDescent="0.25">
      <c r="A419" s="29">
        <v>622</v>
      </c>
      <c r="B419" t="s">
        <v>666</v>
      </c>
      <c r="C419" s="29">
        <v>3</v>
      </c>
      <c r="D419" s="29">
        <v>669</v>
      </c>
    </row>
    <row r="420" spans="1:4" x14ac:dyDescent="0.25">
      <c r="A420" s="29">
        <v>30</v>
      </c>
      <c r="B420" t="s">
        <v>74</v>
      </c>
      <c r="C420" s="29">
        <v>1</v>
      </c>
      <c r="D420" s="29">
        <v>670</v>
      </c>
    </row>
    <row r="421" spans="1:4" x14ac:dyDescent="0.25">
      <c r="A421" s="29">
        <v>380</v>
      </c>
      <c r="B421" t="s">
        <v>424</v>
      </c>
      <c r="C421" s="29">
        <v>1</v>
      </c>
      <c r="D421" s="29">
        <v>670</v>
      </c>
    </row>
    <row r="422" spans="1:4" x14ac:dyDescent="0.25">
      <c r="A422" s="29">
        <v>868</v>
      </c>
      <c r="B422" t="s">
        <v>912</v>
      </c>
      <c r="C422" s="29">
        <v>1</v>
      </c>
      <c r="D422" s="29">
        <v>675</v>
      </c>
    </row>
    <row r="423" spans="1:4" x14ac:dyDescent="0.25">
      <c r="A423" s="29">
        <v>1116</v>
      </c>
      <c r="B423" t="s">
        <v>1160</v>
      </c>
      <c r="C423" s="29">
        <v>1</v>
      </c>
      <c r="D423" s="29">
        <v>677</v>
      </c>
    </row>
    <row r="424" spans="1:4" x14ac:dyDescent="0.25">
      <c r="A424" s="29">
        <v>54</v>
      </c>
      <c r="B424" t="s">
        <v>98</v>
      </c>
      <c r="C424" s="29">
        <v>1</v>
      </c>
      <c r="D424" s="29">
        <v>680</v>
      </c>
    </row>
    <row r="425" spans="1:4" x14ac:dyDescent="0.25">
      <c r="A425" s="29">
        <v>168</v>
      </c>
      <c r="B425" t="s">
        <v>212</v>
      </c>
      <c r="C425" s="29">
        <v>1</v>
      </c>
      <c r="D425" s="29">
        <v>680</v>
      </c>
    </row>
    <row r="426" spans="1:4" x14ac:dyDescent="0.25">
      <c r="A426" s="29">
        <v>827</v>
      </c>
      <c r="B426" t="s">
        <v>871</v>
      </c>
      <c r="C426" s="29">
        <v>6</v>
      </c>
      <c r="D426" s="29">
        <v>680</v>
      </c>
    </row>
    <row r="427" spans="1:4" x14ac:dyDescent="0.25">
      <c r="A427" s="29">
        <v>655</v>
      </c>
      <c r="B427" t="s">
        <v>699</v>
      </c>
      <c r="C427" s="29">
        <v>1</v>
      </c>
      <c r="D427" s="29">
        <v>681</v>
      </c>
    </row>
    <row r="428" spans="1:4" x14ac:dyDescent="0.25">
      <c r="A428" s="29">
        <v>408</v>
      </c>
      <c r="B428" t="s">
        <v>452</v>
      </c>
      <c r="C428" s="29">
        <v>5</v>
      </c>
      <c r="D428" s="29">
        <v>683</v>
      </c>
    </row>
    <row r="429" spans="1:4" x14ac:dyDescent="0.25">
      <c r="A429" s="29">
        <v>1081</v>
      </c>
      <c r="B429" t="s">
        <v>1125</v>
      </c>
      <c r="C429" s="29">
        <v>2</v>
      </c>
      <c r="D429" s="29">
        <v>684</v>
      </c>
    </row>
    <row r="430" spans="1:4" x14ac:dyDescent="0.25">
      <c r="A430" s="29">
        <v>1159</v>
      </c>
      <c r="B430" t="s">
        <v>1203</v>
      </c>
      <c r="C430" s="29">
        <v>5</v>
      </c>
      <c r="D430" s="29">
        <v>684</v>
      </c>
    </row>
    <row r="431" spans="1:4" x14ac:dyDescent="0.25">
      <c r="A431" s="29">
        <v>1180</v>
      </c>
      <c r="B431" t="s">
        <v>1224</v>
      </c>
      <c r="C431" s="29">
        <v>4</v>
      </c>
      <c r="D431" s="29">
        <v>684</v>
      </c>
    </row>
    <row r="432" spans="1:4" x14ac:dyDescent="0.25">
      <c r="A432" s="29">
        <v>1190</v>
      </c>
      <c r="B432" t="s">
        <v>1234</v>
      </c>
      <c r="C432" s="29">
        <v>1</v>
      </c>
      <c r="D432" s="29">
        <v>684</v>
      </c>
    </row>
    <row r="433" spans="1:4" x14ac:dyDescent="0.25">
      <c r="A433" s="29">
        <v>822</v>
      </c>
      <c r="B433" t="s">
        <v>866</v>
      </c>
      <c r="C433" s="29">
        <v>1</v>
      </c>
      <c r="D433" s="29">
        <v>686</v>
      </c>
    </row>
    <row r="434" spans="1:4" x14ac:dyDescent="0.25">
      <c r="A434" s="29">
        <v>932</v>
      </c>
      <c r="B434" t="s">
        <v>976</v>
      </c>
      <c r="C434" s="29">
        <v>1</v>
      </c>
      <c r="D434" s="29">
        <v>687</v>
      </c>
    </row>
    <row r="435" spans="1:4" x14ac:dyDescent="0.25">
      <c r="A435" s="29">
        <v>521</v>
      </c>
      <c r="B435" t="s">
        <v>565</v>
      </c>
      <c r="C435" s="29">
        <v>2</v>
      </c>
      <c r="D435" s="29">
        <v>688</v>
      </c>
    </row>
    <row r="436" spans="1:4" x14ac:dyDescent="0.25">
      <c r="A436" s="29">
        <v>895</v>
      </c>
      <c r="B436" t="s">
        <v>939</v>
      </c>
      <c r="C436" s="29">
        <v>1</v>
      </c>
      <c r="D436" s="29">
        <v>688</v>
      </c>
    </row>
    <row r="437" spans="1:4" x14ac:dyDescent="0.25">
      <c r="A437" s="29">
        <v>1093</v>
      </c>
      <c r="B437" t="s">
        <v>1137</v>
      </c>
      <c r="C437" s="29">
        <v>6</v>
      </c>
      <c r="D437" s="29">
        <v>689</v>
      </c>
    </row>
    <row r="438" spans="1:4" x14ac:dyDescent="0.25">
      <c r="A438" s="29">
        <v>152</v>
      </c>
      <c r="B438" t="s">
        <v>196</v>
      </c>
      <c r="C438" s="29">
        <v>1</v>
      </c>
      <c r="D438" s="29">
        <v>690</v>
      </c>
    </row>
    <row r="439" spans="1:4" x14ac:dyDescent="0.25">
      <c r="A439" s="29">
        <v>246</v>
      </c>
      <c r="B439" t="s">
        <v>290</v>
      </c>
      <c r="C439" s="29">
        <v>3</v>
      </c>
      <c r="D439" s="29">
        <v>692</v>
      </c>
    </row>
    <row r="440" spans="1:4" x14ac:dyDescent="0.25">
      <c r="A440" s="29">
        <v>255</v>
      </c>
      <c r="B440" t="s">
        <v>299</v>
      </c>
      <c r="C440" s="29">
        <v>3</v>
      </c>
      <c r="D440" s="29">
        <v>701</v>
      </c>
    </row>
    <row r="441" spans="1:4" x14ac:dyDescent="0.25">
      <c r="A441" s="29">
        <v>632</v>
      </c>
      <c r="B441" t="s">
        <v>676</v>
      </c>
      <c r="C441" s="29">
        <v>2</v>
      </c>
      <c r="D441" s="29">
        <v>701</v>
      </c>
    </row>
    <row r="442" spans="1:4" x14ac:dyDescent="0.25">
      <c r="A442" s="29">
        <v>927</v>
      </c>
      <c r="B442" t="s">
        <v>971</v>
      </c>
      <c r="C442" s="29">
        <v>1</v>
      </c>
      <c r="D442" s="29">
        <v>702</v>
      </c>
    </row>
    <row r="443" spans="1:4" x14ac:dyDescent="0.25">
      <c r="A443" s="29">
        <v>751</v>
      </c>
      <c r="B443" t="s">
        <v>795</v>
      </c>
      <c r="C443" s="29">
        <v>1</v>
      </c>
      <c r="D443" s="29">
        <v>704</v>
      </c>
    </row>
    <row r="444" spans="1:4" x14ac:dyDescent="0.25">
      <c r="A444" s="29">
        <v>797</v>
      </c>
      <c r="B444" t="s">
        <v>841</v>
      </c>
      <c r="C444" s="29">
        <v>1</v>
      </c>
      <c r="D444" s="29">
        <v>704</v>
      </c>
    </row>
    <row r="445" spans="1:4" x14ac:dyDescent="0.25">
      <c r="A445" s="29">
        <v>780</v>
      </c>
      <c r="B445" t="s">
        <v>824</v>
      </c>
      <c r="C445" s="29">
        <v>1</v>
      </c>
      <c r="D445" s="29">
        <v>709</v>
      </c>
    </row>
    <row r="446" spans="1:4" x14ac:dyDescent="0.25">
      <c r="A446" s="29">
        <v>254</v>
      </c>
      <c r="B446" t="s">
        <v>298</v>
      </c>
      <c r="C446" s="29">
        <v>2</v>
      </c>
      <c r="D446" s="29">
        <v>710</v>
      </c>
    </row>
    <row r="447" spans="1:4" x14ac:dyDescent="0.25">
      <c r="A447" s="29">
        <v>558</v>
      </c>
      <c r="B447" t="s">
        <v>602</v>
      </c>
      <c r="C447" s="29">
        <v>1</v>
      </c>
      <c r="D447" s="29">
        <v>710</v>
      </c>
    </row>
    <row r="448" spans="1:4" x14ac:dyDescent="0.25">
      <c r="A448" s="29">
        <v>1072</v>
      </c>
      <c r="B448" t="s">
        <v>1116</v>
      </c>
      <c r="C448" s="29">
        <v>2</v>
      </c>
      <c r="D448" s="29">
        <v>710</v>
      </c>
    </row>
    <row r="449" spans="1:4" x14ac:dyDescent="0.25">
      <c r="A449" s="29">
        <v>665</v>
      </c>
      <c r="B449" t="s">
        <v>709</v>
      </c>
      <c r="C449" s="29">
        <v>1</v>
      </c>
      <c r="D449" s="29">
        <v>714</v>
      </c>
    </row>
    <row r="450" spans="1:4" x14ac:dyDescent="0.25">
      <c r="A450" s="29">
        <v>914</v>
      </c>
      <c r="B450" t="s">
        <v>958</v>
      </c>
      <c r="C450" s="29">
        <v>5</v>
      </c>
      <c r="D450" s="29">
        <v>714</v>
      </c>
    </row>
    <row r="451" spans="1:4" x14ac:dyDescent="0.25">
      <c r="A451" s="29">
        <v>1120</v>
      </c>
      <c r="B451" t="s">
        <v>1164</v>
      </c>
      <c r="C451" s="29">
        <v>1</v>
      </c>
      <c r="D451" s="29">
        <v>718</v>
      </c>
    </row>
    <row r="452" spans="1:4" x14ac:dyDescent="0.25">
      <c r="A452" s="29">
        <v>1028</v>
      </c>
      <c r="B452" t="s">
        <v>1072</v>
      </c>
      <c r="C452" s="29">
        <v>1</v>
      </c>
      <c r="D452" s="29">
        <v>720</v>
      </c>
    </row>
    <row r="453" spans="1:4" x14ac:dyDescent="0.25">
      <c r="A453" s="29">
        <v>643</v>
      </c>
      <c r="B453" t="s">
        <v>687</v>
      </c>
      <c r="C453" s="29">
        <v>2</v>
      </c>
      <c r="D453" s="29">
        <v>721</v>
      </c>
    </row>
    <row r="454" spans="1:4" x14ac:dyDescent="0.25">
      <c r="A454" s="29">
        <v>256</v>
      </c>
      <c r="B454" t="s">
        <v>300</v>
      </c>
      <c r="C454" s="29">
        <v>3</v>
      </c>
      <c r="D454" s="29">
        <v>723</v>
      </c>
    </row>
    <row r="455" spans="1:4" x14ac:dyDescent="0.25">
      <c r="A455" s="29">
        <v>333</v>
      </c>
      <c r="B455" t="s">
        <v>377</v>
      </c>
      <c r="C455" s="29">
        <v>1</v>
      </c>
      <c r="D455" s="29">
        <v>723</v>
      </c>
    </row>
    <row r="456" spans="1:4" x14ac:dyDescent="0.25">
      <c r="A456" s="29">
        <v>23</v>
      </c>
      <c r="B456" t="s">
        <v>67</v>
      </c>
      <c r="C456" s="29">
        <v>1</v>
      </c>
      <c r="D456" s="29">
        <v>724</v>
      </c>
    </row>
    <row r="457" spans="1:4" x14ac:dyDescent="0.25">
      <c r="A457" s="29">
        <v>39</v>
      </c>
      <c r="B457" t="s">
        <v>83</v>
      </c>
      <c r="C457" s="29">
        <v>2</v>
      </c>
      <c r="D457" s="29">
        <v>724</v>
      </c>
    </row>
    <row r="458" spans="1:4" x14ac:dyDescent="0.25">
      <c r="A458" s="29">
        <v>585</v>
      </c>
      <c r="B458" t="s">
        <v>629</v>
      </c>
      <c r="C458" s="29">
        <v>1</v>
      </c>
      <c r="D458" s="29">
        <v>725</v>
      </c>
    </row>
    <row r="459" spans="1:4" x14ac:dyDescent="0.25">
      <c r="A459" s="29">
        <v>864</v>
      </c>
      <c r="B459" t="s">
        <v>908</v>
      </c>
      <c r="C459" s="29">
        <v>4</v>
      </c>
      <c r="D459" s="29">
        <v>726</v>
      </c>
    </row>
    <row r="460" spans="1:4" x14ac:dyDescent="0.25">
      <c r="A460" s="29">
        <v>1033</v>
      </c>
      <c r="B460" t="s">
        <v>1077</v>
      </c>
      <c r="C460" s="29">
        <v>1</v>
      </c>
      <c r="D460" s="29">
        <v>729</v>
      </c>
    </row>
    <row r="461" spans="1:4" x14ac:dyDescent="0.25">
      <c r="A461" s="29">
        <v>792</v>
      </c>
      <c r="B461" t="s">
        <v>836</v>
      </c>
      <c r="C461" s="29">
        <v>2</v>
      </c>
      <c r="D461" s="29">
        <v>731</v>
      </c>
    </row>
    <row r="462" spans="1:4" x14ac:dyDescent="0.25">
      <c r="A462" s="29">
        <v>870</v>
      </c>
      <c r="B462" t="s">
        <v>914</v>
      </c>
      <c r="C462" s="29">
        <v>1</v>
      </c>
      <c r="D462" s="29">
        <v>733</v>
      </c>
    </row>
    <row r="463" spans="1:4" x14ac:dyDescent="0.25">
      <c r="A463" s="29">
        <v>837</v>
      </c>
      <c r="B463" t="s">
        <v>881</v>
      </c>
      <c r="C463" s="29">
        <v>1</v>
      </c>
      <c r="D463" s="29">
        <v>735</v>
      </c>
    </row>
    <row r="464" spans="1:4" x14ac:dyDescent="0.25">
      <c r="A464" s="29">
        <v>896</v>
      </c>
      <c r="B464" t="s">
        <v>940</v>
      </c>
      <c r="C464" s="29">
        <v>1</v>
      </c>
      <c r="D464" s="29">
        <v>742</v>
      </c>
    </row>
    <row r="465" spans="1:4" x14ac:dyDescent="0.25">
      <c r="A465" s="29">
        <v>658</v>
      </c>
      <c r="B465" t="s">
        <v>702</v>
      </c>
      <c r="C465" s="29">
        <v>1</v>
      </c>
      <c r="D465" s="29">
        <v>746</v>
      </c>
    </row>
    <row r="466" spans="1:4" x14ac:dyDescent="0.25">
      <c r="A466" s="29">
        <v>1026</v>
      </c>
      <c r="B466" t="s">
        <v>1070</v>
      </c>
      <c r="C466" s="29">
        <v>1</v>
      </c>
      <c r="D466" s="29">
        <v>747</v>
      </c>
    </row>
    <row r="467" spans="1:4" x14ac:dyDescent="0.25">
      <c r="A467" s="29">
        <v>602</v>
      </c>
      <c r="B467" t="s">
        <v>646</v>
      </c>
      <c r="C467" s="29">
        <v>1</v>
      </c>
      <c r="D467" s="29">
        <v>748</v>
      </c>
    </row>
    <row r="468" spans="1:4" x14ac:dyDescent="0.25">
      <c r="A468" s="29">
        <v>900</v>
      </c>
      <c r="B468" t="s">
        <v>944</v>
      </c>
      <c r="C468" s="29">
        <v>6</v>
      </c>
      <c r="D468" s="29">
        <v>749</v>
      </c>
    </row>
    <row r="469" spans="1:4" x14ac:dyDescent="0.25">
      <c r="A469" s="29">
        <v>1172</v>
      </c>
      <c r="B469" t="s">
        <v>1216</v>
      </c>
      <c r="C469" s="29">
        <v>6</v>
      </c>
      <c r="D469" s="29">
        <v>749</v>
      </c>
    </row>
    <row r="470" spans="1:4" x14ac:dyDescent="0.25">
      <c r="A470" s="29">
        <v>723</v>
      </c>
      <c r="B470" t="s">
        <v>767</v>
      </c>
      <c r="C470" s="29">
        <v>1</v>
      </c>
      <c r="D470" s="29">
        <v>750</v>
      </c>
    </row>
    <row r="471" spans="1:4" x14ac:dyDescent="0.25">
      <c r="A471" s="29">
        <v>124</v>
      </c>
      <c r="B471" t="s">
        <v>168</v>
      </c>
      <c r="C471" s="29">
        <v>1</v>
      </c>
      <c r="D471" s="29">
        <v>751</v>
      </c>
    </row>
    <row r="472" spans="1:4" x14ac:dyDescent="0.25">
      <c r="A472" s="29">
        <v>440</v>
      </c>
      <c r="B472" t="s">
        <v>484</v>
      </c>
      <c r="C472" s="29">
        <v>1</v>
      </c>
      <c r="D472" s="29">
        <v>752</v>
      </c>
    </row>
    <row r="473" spans="1:4" x14ac:dyDescent="0.25">
      <c r="A473" s="29">
        <v>707</v>
      </c>
      <c r="B473" t="s">
        <v>751</v>
      </c>
      <c r="C473" s="29">
        <v>2</v>
      </c>
      <c r="D473" s="29">
        <v>752</v>
      </c>
    </row>
    <row r="474" spans="1:4" x14ac:dyDescent="0.25">
      <c r="A474" s="29">
        <v>860</v>
      </c>
      <c r="B474" t="s">
        <v>904</v>
      </c>
      <c r="C474" s="29">
        <v>1</v>
      </c>
      <c r="D474" s="29">
        <v>752</v>
      </c>
    </row>
    <row r="475" spans="1:4" x14ac:dyDescent="0.25">
      <c r="A475" s="29">
        <v>695</v>
      </c>
      <c r="B475" t="s">
        <v>739</v>
      </c>
      <c r="C475" s="29">
        <v>1</v>
      </c>
      <c r="D475" s="29">
        <v>756</v>
      </c>
    </row>
    <row r="476" spans="1:4" x14ac:dyDescent="0.25">
      <c r="A476" s="29">
        <v>551</v>
      </c>
      <c r="B476" t="s">
        <v>595</v>
      </c>
      <c r="C476" s="29">
        <v>6</v>
      </c>
      <c r="D476" s="29">
        <v>759</v>
      </c>
    </row>
    <row r="477" spans="1:4" x14ac:dyDescent="0.25">
      <c r="A477" s="29">
        <v>888</v>
      </c>
      <c r="B477" t="s">
        <v>932</v>
      </c>
      <c r="C477" s="29">
        <v>1</v>
      </c>
      <c r="D477" s="29">
        <v>760</v>
      </c>
    </row>
    <row r="478" spans="1:4" x14ac:dyDescent="0.25">
      <c r="A478" s="29">
        <v>119</v>
      </c>
      <c r="B478" t="s">
        <v>163</v>
      </c>
      <c r="C478" s="29">
        <v>1</v>
      </c>
      <c r="D478" s="29">
        <v>762</v>
      </c>
    </row>
    <row r="479" spans="1:4" x14ac:dyDescent="0.25">
      <c r="A479" s="29">
        <v>1062</v>
      </c>
      <c r="B479" t="s">
        <v>1106</v>
      </c>
      <c r="C479" s="29">
        <v>1</v>
      </c>
      <c r="D479" s="29">
        <v>766</v>
      </c>
    </row>
    <row r="480" spans="1:4" x14ac:dyDescent="0.25">
      <c r="A480" s="29">
        <v>767</v>
      </c>
      <c r="B480" t="s">
        <v>811</v>
      </c>
      <c r="C480" s="29">
        <v>1</v>
      </c>
      <c r="D480" s="29">
        <v>769</v>
      </c>
    </row>
    <row r="481" spans="1:4" x14ac:dyDescent="0.25">
      <c r="A481" s="29">
        <v>929</v>
      </c>
      <c r="B481" t="s">
        <v>973</v>
      </c>
      <c r="C481" s="29">
        <v>1</v>
      </c>
      <c r="D481" s="29">
        <v>771</v>
      </c>
    </row>
    <row r="482" spans="1:4" x14ac:dyDescent="0.25">
      <c r="A482" s="29">
        <v>629</v>
      </c>
      <c r="B482" t="s">
        <v>673</v>
      </c>
      <c r="C482" s="29">
        <v>1</v>
      </c>
      <c r="D482" s="29">
        <v>776</v>
      </c>
    </row>
    <row r="483" spans="1:4" x14ac:dyDescent="0.25">
      <c r="A483" s="29">
        <v>623</v>
      </c>
      <c r="B483" t="s">
        <v>667</v>
      </c>
      <c r="C483" s="29">
        <v>5</v>
      </c>
      <c r="D483" s="29">
        <v>777</v>
      </c>
    </row>
    <row r="484" spans="1:4" x14ac:dyDescent="0.25">
      <c r="A484" s="29">
        <v>297</v>
      </c>
      <c r="B484" t="s">
        <v>341</v>
      </c>
      <c r="C484" s="29">
        <v>6</v>
      </c>
      <c r="D484" s="29">
        <v>779</v>
      </c>
    </row>
    <row r="485" spans="1:4" x14ac:dyDescent="0.25">
      <c r="A485" s="29">
        <v>532</v>
      </c>
      <c r="B485" t="s">
        <v>576</v>
      </c>
      <c r="C485" s="29">
        <v>2</v>
      </c>
      <c r="D485" s="29">
        <v>779</v>
      </c>
    </row>
    <row r="486" spans="1:4" x14ac:dyDescent="0.25">
      <c r="A486" s="29">
        <v>682</v>
      </c>
      <c r="B486" t="s">
        <v>726</v>
      </c>
      <c r="C486" s="29">
        <v>1</v>
      </c>
      <c r="D486" s="29">
        <v>781</v>
      </c>
    </row>
    <row r="487" spans="1:4" x14ac:dyDescent="0.25">
      <c r="A487" s="29">
        <v>964</v>
      </c>
      <c r="B487" t="s">
        <v>1008</v>
      </c>
      <c r="C487" s="29">
        <v>1</v>
      </c>
      <c r="D487" s="29">
        <v>781</v>
      </c>
    </row>
    <row r="488" spans="1:4" x14ac:dyDescent="0.25">
      <c r="A488" s="29">
        <v>10</v>
      </c>
      <c r="B488" t="s">
        <v>53</v>
      </c>
      <c r="C488" s="29">
        <v>4</v>
      </c>
      <c r="D488" s="29">
        <v>782</v>
      </c>
    </row>
    <row r="489" spans="1:4" x14ac:dyDescent="0.25">
      <c r="A489" s="29">
        <v>841</v>
      </c>
      <c r="B489" t="s">
        <v>885</v>
      </c>
      <c r="C489" s="29">
        <v>1</v>
      </c>
      <c r="D489" s="29">
        <v>782</v>
      </c>
    </row>
    <row r="490" spans="1:4" x14ac:dyDescent="0.25">
      <c r="A490" s="29">
        <v>1091</v>
      </c>
      <c r="B490" t="s">
        <v>1135</v>
      </c>
      <c r="C490" s="29">
        <v>1</v>
      </c>
      <c r="D490" s="29">
        <v>786</v>
      </c>
    </row>
    <row r="491" spans="1:4" x14ac:dyDescent="0.25">
      <c r="A491" s="29">
        <v>688</v>
      </c>
      <c r="B491" t="s">
        <v>732</v>
      </c>
      <c r="C491" s="29">
        <v>1</v>
      </c>
      <c r="D491" s="29">
        <v>788</v>
      </c>
    </row>
    <row r="492" spans="1:4" x14ac:dyDescent="0.25">
      <c r="A492" s="29">
        <v>308</v>
      </c>
      <c r="B492" t="s">
        <v>352</v>
      </c>
      <c r="C492" s="29">
        <v>1</v>
      </c>
      <c r="D492" s="29">
        <v>792</v>
      </c>
    </row>
    <row r="493" spans="1:4" x14ac:dyDescent="0.25">
      <c r="A493" s="29">
        <v>268</v>
      </c>
      <c r="B493" t="s">
        <v>312</v>
      </c>
      <c r="C493" s="29">
        <v>1</v>
      </c>
      <c r="D493" s="29">
        <v>794</v>
      </c>
    </row>
    <row r="494" spans="1:4" x14ac:dyDescent="0.25">
      <c r="A494" s="29">
        <v>825</v>
      </c>
      <c r="B494" t="s">
        <v>869</v>
      </c>
      <c r="C494" s="29">
        <v>1</v>
      </c>
      <c r="D494" s="29">
        <v>794</v>
      </c>
    </row>
    <row r="495" spans="1:4" x14ac:dyDescent="0.25">
      <c r="A495" s="29">
        <v>169</v>
      </c>
      <c r="B495" t="s">
        <v>213</v>
      </c>
      <c r="C495" s="29">
        <v>1</v>
      </c>
      <c r="D495" s="29">
        <v>795</v>
      </c>
    </row>
    <row r="496" spans="1:4" x14ac:dyDescent="0.25">
      <c r="A496" s="29">
        <v>562</v>
      </c>
      <c r="B496" t="s">
        <v>606</v>
      </c>
      <c r="C496" s="29">
        <v>1</v>
      </c>
      <c r="D496" s="29">
        <v>795</v>
      </c>
    </row>
    <row r="497" spans="1:4" x14ac:dyDescent="0.25">
      <c r="A497" s="29">
        <v>103</v>
      </c>
      <c r="B497" t="s">
        <v>147</v>
      </c>
      <c r="C497" s="29">
        <v>1</v>
      </c>
      <c r="D497" s="29">
        <v>799</v>
      </c>
    </row>
    <row r="498" spans="1:4" x14ac:dyDescent="0.25">
      <c r="A498" s="29">
        <v>528</v>
      </c>
      <c r="B498" t="s">
        <v>572</v>
      </c>
      <c r="C498" s="29">
        <v>4</v>
      </c>
      <c r="D498" s="29">
        <v>801</v>
      </c>
    </row>
    <row r="499" spans="1:4" x14ac:dyDescent="0.25">
      <c r="A499" s="29">
        <v>856</v>
      </c>
      <c r="B499" t="s">
        <v>900</v>
      </c>
      <c r="C499" s="29">
        <v>1</v>
      </c>
      <c r="D499" s="29">
        <v>805</v>
      </c>
    </row>
    <row r="500" spans="1:4" x14ac:dyDescent="0.25">
      <c r="A500" s="29">
        <v>142</v>
      </c>
      <c r="B500" t="s">
        <v>186</v>
      </c>
      <c r="C500" s="29">
        <v>1</v>
      </c>
      <c r="D500" s="29">
        <v>807</v>
      </c>
    </row>
    <row r="501" spans="1:4" x14ac:dyDescent="0.25">
      <c r="A501" s="29">
        <v>130</v>
      </c>
      <c r="B501" t="s">
        <v>174</v>
      </c>
      <c r="C501" s="29">
        <v>1</v>
      </c>
      <c r="D501" s="29">
        <v>810</v>
      </c>
    </row>
    <row r="502" spans="1:4" x14ac:dyDescent="0.25">
      <c r="A502" s="29">
        <v>71</v>
      </c>
      <c r="B502" t="s">
        <v>115</v>
      </c>
      <c r="C502" s="29">
        <v>5</v>
      </c>
      <c r="D502" s="29">
        <v>812</v>
      </c>
    </row>
    <row r="503" spans="1:4" x14ac:dyDescent="0.25">
      <c r="A503" s="29">
        <v>713</v>
      </c>
      <c r="B503" t="s">
        <v>757</v>
      </c>
      <c r="C503" s="29">
        <v>1</v>
      </c>
      <c r="D503" s="29">
        <v>813</v>
      </c>
    </row>
    <row r="504" spans="1:4" x14ac:dyDescent="0.25">
      <c r="A504" s="29">
        <v>883</v>
      </c>
      <c r="B504" t="s">
        <v>927</v>
      </c>
      <c r="C504" s="29">
        <v>1</v>
      </c>
      <c r="D504" s="29">
        <v>817</v>
      </c>
    </row>
    <row r="505" spans="1:4" x14ac:dyDescent="0.25">
      <c r="A505" s="29">
        <v>135</v>
      </c>
      <c r="B505" t="s">
        <v>179</v>
      </c>
      <c r="C505" s="29">
        <v>6</v>
      </c>
      <c r="D505" s="29">
        <v>818</v>
      </c>
    </row>
    <row r="506" spans="1:4" x14ac:dyDescent="0.25">
      <c r="A506" s="29">
        <v>139</v>
      </c>
      <c r="B506" t="s">
        <v>183</v>
      </c>
      <c r="C506" s="29">
        <v>2</v>
      </c>
      <c r="D506" s="29">
        <v>821</v>
      </c>
    </row>
    <row r="507" spans="1:4" x14ac:dyDescent="0.25">
      <c r="A507" s="29">
        <v>81</v>
      </c>
      <c r="B507" t="s">
        <v>125</v>
      </c>
      <c r="C507" s="29">
        <v>1</v>
      </c>
      <c r="D507" s="29">
        <v>825</v>
      </c>
    </row>
    <row r="508" spans="1:4" x14ac:dyDescent="0.25">
      <c r="A508" s="29">
        <v>716</v>
      </c>
      <c r="B508" t="s">
        <v>760</v>
      </c>
      <c r="C508" s="29">
        <v>1</v>
      </c>
      <c r="D508" s="29">
        <v>826</v>
      </c>
    </row>
    <row r="509" spans="1:4" x14ac:dyDescent="0.25">
      <c r="A509" s="29">
        <v>1068</v>
      </c>
      <c r="B509" t="s">
        <v>1112</v>
      </c>
      <c r="C509" s="29">
        <v>2</v>
      </c>
      <c r="D509" s="29">
        <v>828</v>
      </c>
    </row>
    <row r="510" spans="1:4" x14ac:dyDescent="0.25">
      <c r="A510" s="29">
        <v>341</v>
      </c>
      <c r="B510" t="s">
        <v>385</v>
      </c>
      <c r="C510" s="29">
        <v>1</v>
      </c>
      <c r="D510" s="29">
        <v>829</v>
      </c>
    </row>
    <row r="511" spans="1:4" x14ac:dyDescent="0.25">
      <c r="A511" s="29">
        <v>725</v>
      </c>
      <c r="B511" t="s">
        <v>769</v>
      </c>
      <c r="C511" s="29">
        <v>1</v>
      </c>
      <c r="D511" s="29">
        <v>829</v>
      </c>
    </row>
    <row r="512" spans="1:4" x14ac:dyDescent="0.25">
      <c r="A512" s="29">
        <v>613</v>
      </c>
      <c r="B512" t="s">
        <v>657</v>
      </c>
      <c r="C512" s="29">
        <v>1</v>
      </c>
      <c r="D512" s="29">
        <v>830</v>
      </c>
    </row>
    <row r="513" spans="1:4" x14ac:dyDescent="0.25">
      <c r="A513" s="29">
        <v>420</v>
      </c>
      <c r="B513" t="s">
        <v>464</v>
      </c>
      <c r="C513" s="29">
        <v>3</v>
      </c>
      <c r="D513" s="29">
        <v>834</v>
      </c>
    </row>
    <row r="514" spans="1:4" x14ac:dyDescent="0.25">
      <c r="A514" s="29">
        <v>434</v>
      </c>
      <c r="B514" t="s">
        <v>478</v>
      </c>
      <c r="C514" s="29">
        <v>1</v>
      </c>
      <c r="D514" s="29">
        <v>836</v>
      </c>
    </row>
    <row r="515" spans="1:4" x14ac:dyDescent="0.25">
      <c r="A515" s="29">
        <v>455</v>
      </c>
      <c r="B515" t="s">
        <v>499</v>
      </c>
      <c r="C515" s="29">
        <v>1</v>
      </c>
      <c r="D515" s="29">
        <v>837</v>
      </c>
    </row>
    <row r="516" spans="1:4" x14ac:dyDescent="0.25">
      <c r="A516" s="29">
        <v>548</v>
      </c>
      <c r="B516" t="s">
        <v>592</v>
      </c>
      <c r="C516" s="29">
        <v>2</v>
      </c>
      <c r="D516" s="29">
        <v>837</v>
      </c>
    </row>
    <row r="517" spans="1:4" x14ac:dyDescent="0.25">
      <c r="A517" s="29">
        <v>203</v>
      </c>
      <c r="B517" t="s">
        <v>247</v>
      </c>
      <c r="C517" s="29">
        <v>4</v>
      </c>
      <c r="D517" s="29">
        <v>839</v>
      </c>
    </row>
    <row r="518" spans="1:4" x14ac:dyDescent="0.25">
      <c r="A518" s="29">
        <v>1060</v>
      </c>
      <c r="B518" t="s">
        <v>1104</v>
      </c>
      <c r="C518" s="29">
        <v>3</v>
      </c>
      <c r="D518" s="29">
        <v>843</v>
      </c>
    </row>
    <row r="519" spans="1:4" x14ac:dyDescent="0.25">
      <c r="A519" s="29">
        <v>1006</v>
      </c>
      <c r="B519" t="s">
        <v>1050</v>
      </c>
      <c r="C519" s="29">
        <v>1</v>
      </c>
      <c r="D519" s="29">
        <v>844</v>
      </c>
    </row>
    <row r="520" spans="1:4" x14ac:dyDescent="0.25">
      <c r="A520" s="29">
        <v>1000</v>
      </c>
      <c r="B520" t="s">
        <v>1044</v>
      </c>
      <c r="C520" s="29">
        <v>1</v>
      </c>
      <c r="D520" s="29">
        <v>846</v>
      </c>
    </row>
    <row r="521" spans="1:4" x14ac:dyDescent="0.25">
      <c r="A521" s="29">
        <v>16</v>
      </c>
      <c r="B521" t="s">
        <v>60</v>
      </c>
      <c r="C521" s="29">
        <v>4</v>
      </c>
      <c r="D521" s="29">
        <v>847</v>
      </c>
    </row>
    <row r="522" spans="1:4" x14ac:dyDescent="0.25">
      <c r="A522" s="29">
        <v>764</v>
      </c>
      <c r="B522" t="s">
        <v>808</v>
      </c>
      <c r="C522" s="29">
        <v>1</v>
      </c>
      <c r="D522" s="29">
        <v>848</v>
      </c>
    </row>
    <row r="523" spans="1:4" x14ac:dyDescent="0.25">
      <c r="A523" s="29">
        <v>379</v>
      </c>
      <c r="B523" t="s">
        <v>423</v>
      </c>
      <c r="C523" s="29">
        <v>5</v>
      </c>
      <c r="D523" s="29">
        <v>849</v>
      </c>
    </row>
    <row r="524" spans="1:4" x14ac:dyDescent="0.25">
      <c r="A524" s="29">
        <v>919</v>
      </c>
      <c r="B524" t="s">
        <v>963</v>
      </c>
      <c r="C524" s="29">
        <v>6</v>
      </c>
      <c r="D524" s="29">
        <v>850</v>
      </c>
    </row>
    <row r="525" spans="1:4" x14ac:dyDescent="0.25">
      <c r="A525" s="29">
        <v>393</v>
      </c>
      <c r="B525" t="s">
        <v>437</v>
      </c>
      <c r="C525" s="29">
        <v>4</v>
      </c>
      <c r="D525" s="29">
        <v>853</v>
      </c>
    </row>
    <row r="526" spans="1:4" x14ac:dyDescent="0.25">
      <c r="A526" s="29">
        <v>234</v>
      </c>
      <c r="B526" t="s">
        <v>278</v>
      </c>
      <c r="C526" s="29">
        <v>1</v>
      </c>
      <c r="D526" s="29">
        <v>854</v>
      </c>
    </row>
    <row r="527" spans="1:4" x14ac:dyDescent="0.25">
      <c r="A527" s="29">
        <v>286</v>
      </c>
      <c r="B527" t="s">
        <v>330</v>
      </c>
      <c r="C527" s="29">
        <v>1</v>
      </c>
      <c r="D527" s="29">
        <v>855</v>
      </c>
    </row>
    <row r="528" spans="1:4" x14ac:dyDescent="0.25">
      <c r="A528" s="29">
        <v>523</v>
      </c>
      <c r="B528" t="s">
        <v>567</v>
      </c>
      <c r="C528" s="29">
        <v>1</v>
      </c>
      <c r="D528" s="29">
        <v>855</v>
      </c>
    </row>
    <row r="529" spans="1:4" x14ac:dyDescent="0.25">
      <c r="A529" s="29">
        <v>101</v>
      </c>
      <c r="B529" t="s">
        <v>145</v>
      </c>
      <c r="C529" s="29">
        <v>2</v>
      </c>
      <c r="D529" s="29">
        <v>856</v>
      </c>
    </row>
    <row r="530" spans="1:4" x14ac:dyDescent="0.25">
      <c r="A530" s="29">
        <v>684</v>
      </c>
      <c r="B530" t="s">
        <v>728</v>
      </c>
      <c r="C530" s="29">
        <v>1</v>
      </c>
      <c r="D530" s="29">
        <v>859</v>
      </c>
    </row>
    <row r="531" spans="1:4" x14ac:dyDescent="0.25">
      <c r="A531" s="29">
        <v>21</v>
      </c>
      <c r="B531" t="s">
        <v>65</v>
      </c>
      <c r="C531" s="29">
        <v>1</v>
      </c>
      <c r="D531" s="29">
        <v>860</v>
      </c>
    </row>
    <row r="532" spans="1:4" x14ac:dyDescent="0.25">
      <c r="A532" s="29">
        <v>128</v>
      </c>
      <c r="B532" t="s">
        <v>172</v>
      </c>
      <c r="C532" s="29">
        <v>1</v>
      </c>
      <c r="D532" s="29">
        <v>860</v>
      </c>
    </row>
    <row r="533" spans="1:4" x14ac:dyDescent="0.25">
      <c r="A533" s="29">
        <v>982</v>
      </c>
      <c r="B533" t="s">
        <v>1026</v>
      </c>
      <c r="C533" s="29">
        <v>2</v>
      </c>
      <c r="D533" s="29">
        <v>860</v>
      </c>
    </row>
    <row r="534" spans="1:4" x14ac:dyDescent="0.25">
      <c r="A534" s="29">
        <v>846</v>
      </c>
      <c r="B534" t="s">
        <v>890</v>
      </c>
      <c r="C534" s="29">
        <v>4</v>
      </c>
      <c r="D534" s="29">
        <v>865</v>
      </c>
    </row>
    <row r="535" spans="1:4" x14ac:dyDescent="0.25">
      <c r="A535" s="29">
        <v>574</v>
      </c>
      <c r="B535" t="s">
        <v>618</v>
      </c>
      <c r="C535" s="29">
        <v>2</v>
      </c>
      <c r="D535" s="29">
        <v>867</v>
      </c>
    </row>
    <row r="536" spans="1:4" x14ac:dyDescent="0.25">
      <c r="A536" s="29">
        <v>801</v>
      </c>
      <c r="B536" t="s">
        <v>845</v>
      </c>
      <c r="C536" s="29">
        <v>1</v>
      </c>
      <c r="D536" s="29">
        <v>868</v>
      </c>
    </row>
    <row r="537" spans="1:4" x14ac:dyDescent="0.25">
      <c r="A537" s="29">
        <v>1149</v>
      </c>
      <c r="B537" t="s">
        <v>1193</v>
      </c>
      <c r="C537" s="29">
        <v>1</v>
      </c>
      <c r="D537" s="29">
        <v>868</v>
      </c>
    </row>
    <row r="538" spans="1:4" x14ac:dyDescent="0.25">
      <c r="A538" s="29">
        <v>471</v>
      </c>
      <c r="B538" t="s">
        <v>515</v>
      </c>
      <c r="C538" s="29">
        <v>1</v>
      </c>
      <c r="D538" s="29">
        <v>870</v>
      </c>
    </row>
    <row r="539" spans="1:4" x14ac:dyDescent="0.25">
      <c r="A539" s="29">
        <v>274</v>
      </c>
      <c r="B539" t="s">
        <v>318</v>
      </c>
      <c r="C539" s="29">
        <v>2</v>
      </c>
      <c r="D539" s="29">
        <v>871</v>
      </c>
    </row>
    <row r="540" spans="1:4" x14ac:dyDescent="0.25">
      <c r="A540" s="29">
        <v>1067</v>
      </c>
      <c r="B540" t="s">
        <v>1111</v>
      </c>
      <c r="C540" s="29">
        <v>1</v>
      </c>
      <c r="D540" s="29">
        <v>871</v>
      </c>
    </row>
    <row r="541" spans="1:4" x14ac:dyDescent="0.25">
      <c r="A541" s="29">
        <v>533</v>
      </c>
      <c r="B541" t="s">
        <v>577</v>
      </c>
      <c r="C541" s="29">
        <v>1</v>
      </c>
      <c r="D541" s="29">
        <v>876</v>
      </c>
    </row>
    <row r="542" spans="1:4" x14ac:dyDescent="0.25">
      <c r="A542" s="29">
        <v>697</v>
      </c>
      <c r="B542" t="s">
        <v>741</v>
      </c>
      <c r="C542" s="29">
        <v>5</v>
      </c>
      <c r="D542" s="29">
        <v>878</v>
      </c>
    </row>
    <row r="543" spans="1:4" x14ac:dyDescent="0.25">
      <c r="A543" s="29">
        <v>786</v>
      </c>
      <c r="B543" t="s">
        <v>830</v>
      </c>
      <c r="C543" s="29">
        <v>6</v>
      </c>
      <c r="D543" s="29">
        <v>878</v>
      </c>
    </row>
    <row r="544" spans="1:4" x14ac:dyDescent="0.25">
      <c r="A544" s="29">
        <v>732</v>
      </c>
      <c r="B544" t="s">
        <v>776</v>
      </c>
      <c r="C544" s="29">
        <v>1</v>
      </c>
      <c r="D544" s="29">
        <v>879</v>
      </c>
    </row>
    <row r="545" spans="1:4" x14ac:dyDescent="0.25">
      <c r="A545" s="29">
        <v>138</v>
      </c>
      <c r="B545" t="s">
        <v>182</v>
      </c>
      <c r="C545" s="29">
        <v>4</v>
      </c>
      <c r="D545" s="29">
        <v>881</v>
      </c>
    </row>
    <row r="546" spans="1:4" x14ac:dyDescent="0.25">
      <c r="A546" s="29">
        <v>159</v>
      </c>
      <c r="B546" t="s">
        <v>203</v>
      </c>
      <c r="C546" s="29">
        <v>1</v>
      </c>
      <c r="D546" s="29">
        <v>881</v>
      </c>
    </row>
    <row r="547" spans="1:4" x14ac:dyDescent="0.25">
      <c r="A547" s="29">
        <v>1040</v>
      </c>
      <c r="B547" t="s">
        <v>1084</v>
      </c>
      <c r="C547" s="29">
        <v>1</v>
      </c>
      <c r="D547" s="29">
        <v>881</v>
      </c>
    </row>
    <row r="548" spans="1:4" x14ac:dyDescent="0.25">
      <c r="A548" s="29">
        <v>776</v>
      </c>
      <c r="B548" t="s">
        <v>820</v>
      </c>
      <c r="C548" s="29">
        <v>1</v>
      </c>
      <c r="D548" s="29">
        <v>885</v>
      </c>
    </row>
    <row r="549" spans="1:4" x14ac:dyDescent="0.25">
      <c r="A549" s="29">
        <v>239</v>
      </c>
      <c r="B549" t="s">
        <v>283</v>
      </c>
      <c r="C549" s="29">
        <v>5</v>
      </c>
      <c r="D549" s="29">
        <v>887</v>
      </c>
    </row>
    <row r="550" spans="1:4" x14ac:dyDescent="0.25">
      <c r="A550" s="29">
        <v>529</v>
      </c>
      <c r="B550" t="s">
        <v>573</v>
      </c>
      <c r="C550" s="29">
        <v>4</v>
      </c>
      <c r="D550" s="29">
        <v>887</v>
      </c>
    </row>
    <row r="551" spans="1:4" x14ac:dyDescent="0.25">
      <c r="A551" s="29">
        <v>398</v>
      </c>
      <c r="B551" t="s">
        <v>442</v>
      </c>
      <c r="C551" s="29">
        <v>4</v>
      </c>
      <c r="D551" s="29">
        <v>888</v>
      </c>
    </row>
    <row r="552" spans="1:4" x14ac:dyDescent="0.25">
      <c r="A552" s="29">
        <v>515</v>
      </c>
      <c r="B552" t="s">
        <v>559</v>
      </c>
      <c r="C552" s="29">
        <v>1</v>
      </c>
      <c r="D552" s="29">
        <v>888</v>
      </c>
    </row>
    <row r="553" spans="1:4" x14ac:dyDescent="0.25">
      <c r="A553" s="29">
        <v>624</v>
      </c>
      <c r="B553" t="s">
        <v>668</v>
      </c>
      <c r="C553" s="29">
        <v>2</v>
      </c>
      <c r="D553" s="29">
        <v>888</v>
      </c>
    </row>
    <row r="554" spans="1:4" x14ac:dyDescent="0.25">
      <c r="A554" s="29">
        <v>729</v>
      </c>
      <c r="B554" t="s">
        <v>773</v>
      </c>
      <c r="C554" s="29">
        <v>4</v>
      </c>
      <c r="D554" s="29">
        <v>888</v>
      </c>
    </row>
    <row r="555" spans="1:4" x14ac:dyDescent="0.25">
      <c r="A555" s="29">
        <v>301</v>
      </c>
      <c r="B555" t="s">
        <v>345</v>
      </c>
      <c r="C555" s="29">
        <v>1</v>
      </c>
      <c r="D555" s="29">
        <v>892</v>
      </c>
    </row>
    <row r="556" spans="1:4" x14ac:dyDescent="0.25">
      <c r="A556" s="29">
        <v>1092</v>
      </c>
      <c r="B556" t="s">
        <v>1136</v>
      </c>
      <c r="C556" s="29">
        <v>1</v>
      </c>
      <c r="D556" s="29">
        <v>892</v>
      </c>
    </row>
    <row r="557" spans="1:4" x14ac:dyDescent="0.25">
      <c r="A557" s="29">
        <v>141</v>
      </c>
      <c r="B557" t="s">
        <v>185</v>
      </c>
      <c r="C557" s="29">
        <v>1</v>
      </c>
      <c r="D557" s="29">
        <v>893</v>
      </c>
    </row>
    <row r="558" spans="1:4" x14ac:dyDescent="0.25">
      <c r="A558" s="29">
        <v>391</v>
      </c>
      <c r="B558" t="s">
        <v>435</v>
      </c>
      <c r="C558" s="29">
        <v>1</v>
      </c>
      <c r="D558" s="29">
        <v>895</v>
      </c>
    </row>
    <row r="559" spans="1:4" x14ac:dyDescent="0.25">
      <c r="A559" s="29">
        <v>384</v>
      </c>
      <c r="B559" t="s">
        <v>428</v>
      </c>
      <c r="C559" s="29">
        <v>5</v>
      </c>
      <c r="D559" s="29">
        <v>896</v>
      </c>
    </row>
    <row r="560" spans="1:4" x14ac:dyDescent="0.25">
      <c r="A560" s="29">
        <v>541</v>
      </c>
      <c r="B560" t="s">
        <v>585</v>
      </c>
      <c r="C560" s="29">
        <v>1</v>
      </c>
      <c r="D560" s="29">
        <v>898</v>
      </c>
    </row>
    <row r="561" spans="1:4" x14ac:dyDescent="0.25">
      <c r="A561" s="29">
        <v>149</v>
      </c>
      <c r="B561" t="s">
        <v>193</v>
      </c>
      <c r="C561" s="29">
        <v>1</v>
      </c>
      <c r="D561" s="29">
        <v>899</v>
      </c>
    </row>
    <row r="562" spans="1:4" x14ac:dyDescent="0.25">
      <c r="A562" s="29">
        <v>1059</v>
      </c>
      <c r="B562" t="s">
        <v>1103</v>
      </c>
      <c r="C562" s="29">
        <v>1</v>
      </c>
      <c r="D562" s="29">
        <v>899</v>
      </c>
    </row>
    <row r="563" spans="1:4" x14ac:dyDescent="0.25">
      <c r="A563" s="29">
        <v>418</v>
      </c>
      <c r="B563" t="s">
        <v>462</v>
      </c>
      <c r="C563" s="29">
        <v>1</v>
      </c>
      <c r="D563" s="29">
        <v>900</v>
      </c>
    </row>
    <row r="564" spans="1:4" x14ac:dyDescent="0.25">
      <c r="A564" s="29">
        <v>1128</v>
      </c>
      <c r="B564" t="s">
        <v>1172</v>
      </c>
      <c r="C564" s="29">
        <v>3</v>
      </c>
      <c r="D564" s="29">
        <v>900</v>
      </c>
    </row>
    <row r="565" spans="1:4" x14ac:dyDescent="0.25">
      <c r="A565" s="29">
        <v>1168</v>
      </c>
      <c r="B565" t="s">
        <v>1212</v>
      </c>
      <c r="C565" s="29">
        <v>5</v>
      </c>
      <c r="D565" s="29">
        <v>900</v>
      </c>
    </row>
    <row r="566" spans="1:4" x14ac:dyDescent="0.25">
      <c r="A566" s="29">
        <v>361</v>
      </c>
      <c r="B566" t="s">
        <v>405</v>
      </c>
      <c r="C566" s="29">
        <v>3</v>
      </c>
      <c r="D566" s="29">
        <v>902</v>
      </c>
    </row>
    <row r="567" spans="1:4" x14ac:dyDescent="0.25">
      <c r="A567" s="29">
        <v>222</v>
      </c>
      <c r="B567" t="s">
        <v>266</v>
      </c>
      <c r="C567" s="29">
        <v>1</v>
      </c>
      <c r="D567" s="29">
        <v>903</v>
      </c>
    </row>
    <row r="568" spans="1:4" x14ac:dyDescent="0.25">
      <c r="A568" s="29">
        <v>340</v>
      </c>
      <c r="B568" t="s">
        <v>384</v>
      </c>
      <c r="C568" s="29">
        <v>1</v>
      </c>
      <c r="D568" s="29">
        <v>903</v>
      </c>
    </row>
    <row r="569" spans="1:4" x14ac:dyDescent="0.25">
      <c r="A569" s="29">
        <v>671</v>
      </c>
      <c r="B569" t="s">
        <v>715</v>
      </c>
      <c r="C569" s="29">
        <v>1</v>
      </c>
      <c r="D569" s="29">
        <v>903</v>
      </c>
    </row>
    <row r="570" spans="1:4" x14ac:dyDescent="0.25">
      <c r="A570" s="29">
        <v>992</v>
      </c>
      <c r="B570" t="s">
        <v>1036</v>
      </c>
      <c r="C570" s="29">
        <v>4</v>
      </c>
      <c r="D570" s="29">
        <v>903</v>
      </c>
    </row>
    <row r="571" spans="1:4" x14ac:dyDescent="0.25">
      <c r="A571" s="29">
        <v>320</v>
      </c>
      <c r="B571" t="s">
        <v>364</v>
      </c>
      <c r="C571" s="29">
        <v>1</v>
      </c>
      <c r="D571" s="29">
        <v>908</v>
      </c>
    </row>
    <row r="572" spans="1:4" x14ac:dyDescent="0.25">
      <c r="A572" s="29">
        <v>90</v>
      </c>
      <c r="B572" t="s">
        <v>134</v>
      </c>
      <c r="C572" s="29">
        <v>4</v>
      </c>
      <c r="D572" s="29">
        <v>909</v>
      </c>
    </row>
    <row r="573" spans="1:4" x14ac:dyDescent="0.25">
      <c r="A573" s="29">
        <v>657</v>
      </c>
      <c r="B573" t="s">
        <v>701</v>
      </c>
      <c r="C573" s="29">
        <v>3</v>
      </c>
      <c r="D573" s="29">
        <v>909</v>
      </c>
    </row>
    <row r="574" spans="1:4" x14ac:dyDescent="0.25">
      <c r="A574" s="29">
        <v>730</v>
      </c>
      <c r="B574" t="s">
        <v>774</v>
      </c>
      <c r="C574" s="29">
        <v>6</v>
      </c>
      <c r="D574" s="29">
        <v>909</v>
      </c>
    </row>
    <row r="575" spans="1:4" x14ac:dyDescent="0.25">
      <c r="A575" s="29">
        <v>1187</v>
      </c>
      <c r="B575" t="s">
        <v>1231</v>
      </c>
      <c r="C575" s="29">
        <v>5</v>
      </c>
      <c r="D575" s="29">
        <v>909</v>
      </c>
    </row>
    <row r="576" spans="1:4" x14ac:dyDescent="0.25">
      <c r="A576" s="29">
        <v>702</v>
      </c>
      <c r="B576" t="s">
        <v>746</v>
      </c>
      <c r="C576" s="29">
        <v>1</v>
      </c>
      <c r="D576" s="29">
        <v>915</v>
      </c>
    </row>
    <row r="577" spans="1:4" x14ac:dyDescent="0.25">
      <c r="A577" s="29">
        <v>199</v>
      </c>
      <c r="B577" t="s">
        <v>243</v>
      </c>
      <c r="C577" s="29">
        <v>4</v>
      </c>
      <c r="D577" s="29">
        <v>917</v>
      </c>
    </row>
    <row r="578" spans="1:4" x14ac:dyDescent="0.25">
      <c r="A578" s="29">
        <v>840</v>
      </c>
      <c r="B578" t="s">
        <v>884</v>
      </c>
      <c r="C578" s="29">
        <v>1</v>
      </c>
      <c r="D578" s="29">
        <v>917</v>
      </c>
    </row>
    <row r="579" spans="1:4" x14ac:dyDescent="0.25">
      <c r="A579" s="29">
        <v>1104</v>
      </c>
      <c r="B579" t="s">
        <v>1148</v>
      </c>
      <c r="C579" s="29">
        <v>1</v>
      </c>
      <c r="D579" s="29">
        <v>917</v>
      </c>
    </row>
    <row r="580" spans="1:4" x14ac:dyDescent="0.25">
      <c r="A580" s="29">
        <v>604</v>
      </c>
      <c r="B580" t="s">
        <v>648</v>
      </c>
      <c r="C580" s="29">
        <v>1</v>
      </c>
      <c r="D580" s="29">
        <v>918</v>
      </c>
    </row>
    <row r="581" spans="1:4" x14ac:dyDescent="0.25">
      <c r="A581" s="29">
        <v>1107</v>
      </c>
      <c r="B581" t="s">
        <v>1151</v>
      </c>
      <c r="C581" s="29">
        <v>4</v>
      </c>
      <c r="D581" s="29">
        <v>918</v>
      </c>
    </row>
    <row r="582" spans="1:4" x14ac:dyDescent="0.25">
      <c r="A582" s="29">
        <v>114</v>
      </c>
      <c r="B582" t="s">
        <v>158</v>
      </c>
      <c r="C582" s="29">
        <v>2</v>
      </c>
      <c r="D582" s="29">
        <v>919</v>
      </c>
    </row>
    <row r="583" spans="1:4" x14ac:dyDescent="0.25">
      <c r="A583" s="29">
        <v>554</v>
      </c>
      <c r="B583" t="s">
        <v>598</v>
      </c>
      <c r="C583" s="29">
        <v>2</v>
      </c>
      <c r="D583" s="29">
        <v>922</v>
      </c>
    </row>
    <row r="584" spans="1:4" x14ac:dyDescent="0.25">
      <c r="A584" s="29">
        <v>628</v>
      </c>
      <c r="B584" t="s">
        <v>672</v>
      </c>
      <c r="C584" s="29">
        <v>1</v>
      </c>
      <c r="D584" s="29">
        <v>922</v>
      </c>
    </row>
    <row r="585" spans="1:4" x14ac:dyDescent="0.25">
      <c r="A585" s="29">
        <v>478</v>
      </c>
      <c r="B585" t="s">
        <v>522</v>
      </c>
      <c r="C585" s="29">
        <v>5</v>
      </c>
      <c r="D585" s="29">
        <v>925</v>
      </c>
    </row>
    <row r="586" spans="1:4" x14ac:dyDescent="0.25">
      <c r="A586" s="29">
        <v>677</v>
      </c>
      <c r="B586" t="s">
        <v>721</v>
      </c>
      <c r="C586" s="29">
        <v>4</v>
      </c>
      <c r="D586" s="29">
        <v>925</v>
      </c>
    </row>
    <row r="587" spans="1:4" x14ac:dyDescent="0.25">
      <c r="A587" s="29">
        <v>987</v>
      </c>
      <c r="B587" t="s">
        <v>1031</v>
      </c>
      <c r="C587" s="29">
        <v>1</v>
      </c>
      <c r="D587" s="29">
        <v>926</v>
      </c>
    </row>
    <row r="588" spans="1:4" x14ac:dyDescent="0.25">
      <c r="A588" s="29">
        <v>1103</v>
      </c>
      <c r="B588" t="s">
        <v>1147</v>
      </c>
      <c r="C588" s="29">
        <v>3</v>
      </c>
      <c r="D588" s="29">
        <v>926</v>
      </c>
    </row>
    <row r="589" spans="1:4" x14ac:dyDescent="0.25">
      <c r="A589" s="29">
        <v>1007</v>
      </c>
      <c r="B589" t="s">
        <v>1051</v>
      </c>
      <c r="C589" s="29">
        <v>1</v>
      </c>
      <c r="D589" s="29">
        <v>927</v>
      </c>
    </row>
    <row r="590" spans="1:4" x14ac:dyDescent="0.25">
      <c r="A590" s="29">
        <v>1147</v>
      </c>
      <c r="B590" t="s">
        <v>1191</v>
      </c>
      <c r="C590" s="29">
        <v>1</v>
      </c>
      <c r="D590" s="29">
        <v>927</v>
      </c>
    </row>
    <row r="591" spans="1:4" x14ac:dyDescent="0.25">
      <c r="A591" s="29">
        <v>798</v>
      </c>
      <c r="B591" t="s">
        <v>842</v>
      </c>
      <c r="C591" s="29">
        <v>1</v>
      </c>
      <c r="D591" s="29">
        <v>928</v>
      </c>
    </row>
    <row r="592" spans="1:4" x14ac:dyDescent="0.25">
      <c r="A592" s="29">
        <v>803</v>
      </c>
      <c r="B592" t="s">
        <v>847</v>
      </c>
      <c r="C592" s="29">
        <v>1</v>
      </c>
      <c r="D592" s="29">
        <v>928</v>
      </c>
    </row>
    <row r="593" spans="1:4" x14ac:dyDescent="0.25">
      <c r="A593" s="29">
        <v>813</v>
      </c>
      <c r="B593" t="s">
        <v>857</v>
      </c>
      <c r="C593" s="29">
        <v>1</v>
      </c>
      <c r="D593" s="29">
        <v>928</v>
      </c>
    </row>
    <row r="594" spans="1:4" x14ac:dyDescent="0.25">
      <c r="A594" s="29">
        <v>833</v>
      </c>
      <c r="B594" t="s">
        <v>877</v>
      </c>
      <c r="C594" s="29">
        <v>1</v>
      </c>
      <c r="D594" s="29">
        <v>928</v>
      </c>
    </row>
    <row r="595" spans="1:4" x14ac:dyDescent="0.25">
      <c r="A595" s="29">
        <v>816</v>
      </c>
      <c r="B595" t="s">
        <v>860</v>
      </c>
      <c r="C595" s="29">
        <v>1</v>
      </c>
      <c r="D595" s="29">
        <v>931</v>
      </c>
    </row>
    <row r="596" spans="1:4" x14ac:dyDescent="0.25">
      <c r="A596" s="29">
        <v>66</v>
      </c>
      <c r="B596" t="s">
        <v>110</v>
      </c>
      <c r="C596" s="29">
        <v>1</v>
      </c>
      <c r="D596" s="29">
        <v>932</v>
      </c>
    </row>
    <row r="597" spans="1:4" x14ac:dyDescent="0.25">
      <c r="A597" s="29">
        <v>1064</v>
      </c>
      <c r="B597" t="s">
        <v>1108</v>
      </c>
      <c r="C597" s="29">
        <v>4</v>
      </c>
      <c r="D597" s="29">
        <v>932</v>
      </c>
    </row>
    <row r="598" spans="1:4" x14ac:dyDescent="0.25">
      <c r="A598" s="29">
        <v>86</v>
      </c>
      <c r="B598" t="s">
        <v>130</v>
      </c>
      <c r="C598" s="29">
        <v>2</v>
      </c>
      <c r="D598" s="29">
        <v>933</v>
      </c>
    </row>
    <row r="599" spans="1:4" x14ac:dyDescent="0.25">
      <c r="A599" s="29">
        <v>437</v>
      </c>
      <c r="B599" t="s">
        <v>481</v>
      </c>
      <c r="C599" s="29">
        <v>1</v>
      </c>
      <c r="D599" s="29">
        <v>934</v>
      </c>
    </row>
    <row r="600" spans="1:4" x14ac:dyDescent="0.25">
      <c r="A600" s="29">
        <v>24</v>
      </c>
      <c r="B600" t="s">
        <v>68</v>
      </c>
      <c r="C600" s="29">
        <v>4</v>
      </c>
      <c r="D600" s="29">
        <v>936</v>
      </c>
    </row>
    <row r="601" spans="1:4" x14ac:dyDescent="0.25">
      <c r="A601" s="29">
        <v>136</v>
      </c>
      <c r="B601" t="s">
        <v>180</v>
      </c>
      <c r="C601" s="29">
        <v>1</v>
      </c>
      <c r="D601" s="29">
        <v>937</v>
      </c>
    </row>
    <row r="602" spans="1:4" x14ac:dyDescent="0.25">
      <c r="A602" s="29">
        <v>1088</v>
      </c>
      <c r="B602" t="s">
        <v>1132</v>
      </c>
      <c r="C602" s="29">
        <v>6</v>
      </c>
      <c r="D602" s="29">
        <v>939</v>
      </c>
    </row>
    <row r="603" spans="1:4" x14ac:dyDescent="0.25">
      <c r="A603" s="29">
        <v>1108</v>
      </c>
      <c r="B603" t="s">
        <v>1152</v>
      </c>
      <c r="C603" s="29">
        <v>1</v>
      </c>
      <c r="D603" s="29">
        <v>942</v>
      </c>
    </row>
    <row r="604" spans="1:4" x14ac:dyDescent="0.25">
      <c r="A604" s="29">
        <v>464</v>
      </c>
      <c r="B604" t="s">
        <v>508</v>
      </c>
      <c r="C604" s="29">
        <v>2</v>
      </c>
      <c r="D604" s="29">
        <v>946</v>
      </c>
    </row>
    <row r="605" spans="1:4" x14ac:dyDescent="0.25">
      <c r="A605" s="29">
        <v>862</v>
      </c>
      <c r="B605" t="s">
        <v>906</v>
      </c>
      <c r="C605" s="29">
        <v>1</v>
      </c>
      <c r="D605" s="29">
        <v>949</v>
      </c>
    </row>
    <row r="606" spans="1:4" x14ac:dyDescent="0.25">
      <c r="A606" s="29">
        <v>1171</v>
      </c>
      <c r="B606" t="s">
        <v>1215</v>
      </c>
      <c r="C606" s="29">
        <v>2</v>
      </c>
      <c r="D606" s="29">
        <v>950</v>
      </c>
    </row>
    <row r="607" spans="1:4" x14ac:dyDescent="0.25">
      <c r="A607" s="29">
        <v>1056</v>
      </c>
      <c r="B607" t="s">
        <v>1100</v>
      </c>
      <c r="C607" s="29">
        <v>1</v>
      </c>
      <c r="D607" s="29">
        <v>951</v>
      </c>
    </row>
    <row r="608" spans="1:4" x14ac:dyDescent="0.25">
      <c r="A608" s="29">
        <v>236</v>
      </c>
      <c r="B608" t="s">
        <v>280</v>
      </c>
      <c r="C608" s="29">
        <v>1</v>
      </c>
      <c r="D608" s="29">
        <v>952</v>
      </c>
    </row>
    <row r="609" spans="1:4" x14ac:dyDescent="0.25">
      <c r="A609" s="29">
        <v>165</v>
      </c>
      <c r="B609" t="s">
        <v>209</v>
      </c>
      <c r="C609" s="29">
        <v>4</v>
      </c>
      <c r="D609" s="29">
        <v>954</v>
      </c>
    </row>
    <row r="610" spans="1:4" x14ac:dyDescent="0.25">
      <c r="A610" s="29">
        <v>213</v>
      </c>
      <c r="B610" t="s">
        <v>257</v>
      </c>
      <c r="C610" s="29">
        <v>3</v>
      </c>
      <c r="D610" s="29">
        <v>955</v>
      </c>
    </row>
    <row r="611" spans="1:4" x14ac:dyDescent="0.25">
      <c r="A611" s="29">
        <v>1061</v>
      </c>
      <c r="B611" t="s">
        <v>1105</v>
      </c>
      <c r="C611" s="29">
        <v>1</v>
      </c>
      <c r="D611" s="29">
        <v>955</v>
      </c>
    </row>
    <row r="612" spans="1:4" x14ac:dyDescent="0.25">
      <c r="A612" s="29">
        <v>465</v>
      </c>
      <c r="B612" t="s">
        <v>509</v>
      </c>
      <c r="C612" s="29">
        <v>2</v>
      </c>
      <c r="D612" s="29">
        <v>956</v>
      </c>
    </row>
    <row r="613" spans="1:4" x14ac:dyDescent="0.25">
      <c r="A613" s="29">
        <v>362</v>
      </c>
      <c r="B613" t="s">
        <v>406</v>
      </c>
      <c r="C613" s="29">
        <v>1</v>
      </c>
      <c r="D613" s="29">
        <v>957</v>
      </c>
    </row>
    <row r="614" spans="1:4" x14ac:dyDescent="0.25">
      <c r="A614" s="29">
        <v>445</v>
      </c>
      <c r="B614" t="s">
        <v>489</v>
      </c>
      <c r="C614" s="29">
        <v>2</v>
      </c>
      <c r="D614" s="29">
        <v>958</v>
      </c>
    </row>
    <row r="615" spans="1:4" x14ac:dyDescent="0.25">
      <c r="A615" s="29">
        <v>994</v>
      </c>
      <c r="B615" t="s">
        <v>1038</v>
      </c>
      <c r="C615" s="29">
        <v>1</v>
      </c>
      <c r="D615" s="29">
        <v>958</v>
      </c>
    </row>
    <row r="616" spans="1:4" x14ac:dyDescent="0.25">
      <c r="A616" s="29">
        <v>12</v>
      </c>
      <c r="B616" t="s">
        <v>56</v>
      </c>
      <c r="C616" s="29">
        <v>1</v>
      </c>
      <c r="D616" s="29">
        <v>959</v>
      </c>
    </row>
    <row r="617" spans="1:4" x14ac:dyDescent="0.25">
      <c r="A617" s="29">
        <v>133</v>
      </c>
      <c r="B617" t="s">
        <v>177</v>
      </c>
      <c r="C617" s="29">
        <v>3</v>
      </c>
      <c r="D617" s="29">
        <v>960</v>
      </c>
    </row>
    <row r="618" spans="1:4" x14ac:dyDescent="0.25">
      <c r="A618" s="29">
        <v>683</v>
      </c>
      <c r="B618" t="s">
        <v>727</v>
      </c>
      <c r="C618" s="29">
        <v>1</v>
      </c>
      <c r="D618" s="29">
        <v>960</v>
      </c>
    </row>
    <row r="619" spans="1:4" x14ac:dyDescent="0.25">
      <c r="A619" s="29">
        <v>802</v>
      </c>
      <c r="B619" t="s">
        <v>846</v>
      </c>
      <c r="C619" s="29">
        <v>1</v>
      </c>
      <c r="D619" s="29">
        <v>968</v>
      </c>
    </row>
    <row r="620" spans="1:4" x14ac:dyDescent="0.25">
      <c r="A620" s="29">
        <v>27</v>
      </c>
      <c r="B620" t="s">
        <v>71</v>
      </c>
      <c r="C620" s="29">
        <v>2</v>
      </c>
      <c r="D620" s="29">
        <v>971</v>
      </c>
    </row>
    <row r="621" spans="1:4" x14ac:dyDescent="0.25">
      <c r="A621" s="29">
        <v>714</v>
      </c>
      <c r="B621" t="s">
        <v>758</v>
      </c>
      <c r="C621" s="29">
        <v>1</v>
      </c>
      <c r="D621" s="29">
        <v>971</v>
      </c>
    </row>
    <row r="622" spans="1:4" x14ac:dyDescent="0.25">
      <c r="A622" s="29">
        <v>316</v>
      </c>
      <c r="B622" t="s">
        <v>360</v>
      </c>
      <c r="C622" s="29">
        <v>1</v>
      </c>
      <c r="D622" s="29">
        <v>972</v>
      </c>
    </row>
    <row r="623" spans="1:4" x14ac:dyDescent="0.25">
      <c r="A623" s="29">
        <v>768</v>
      </c>
      <c r="B623" t="s">
        <v>812</v>
      </c>
      <c r="C623" s="29">
        <v>1</v>
      </c>
      <c r="D623" s="29">
        <v>973</v>
      </c>
    </row>
    <row r="624" spans="1:4" x14ac:dyDescent="0.25">
      <c r="A624" s="29">
        <v>353</v>
      </c>
      <c r="B624" t="s">
        <v>397</v>
      </c>
      <c r="C624" s="29">
        <v>1</v>
      </c>
      <c r="D624" s="29">
        <v>974</v>
      </c>
    </row>
    <row r="625" spans="1:4" x14ac:dyDescent="0.25">
      <c r="A625" s="29">
        <v>503</v>
      </c>
      <c r="B625" t="s">
        <v>547</v>
      </c>
      <c r="C625" s="29">
        <v>5</v>
      </c>
      <c r="D625" s="29">
        <v>977</v>
      </c>
    </row>
    <row r="626" spans="1:4" x14ac:dyDescent="0.25">
      <c r="A626" s="29">
        <v>245</v>
      </c>
      <c r="B626" t="s">
        <v>289</v>
      </c>
      <c r="C626" s="29">
        <v>2</v>
      </c>
      <c r="D626" s="29">
        <v>978</v>
      </c>
    </row>
    <row r="627" spans="1:4" x14ac:dyDescent="0.25">
      <c r="A627" s="29">
        <v>1095</v>
      </c>
      <c r="B627" t="s">
        <v>1139</v>
      </c>
      <c r="C627" s="29">
        <v>5</v>
      </c>
      <c r="D627" s="29">
        <v>981</v>
      </c>
    </row>
    <row r="628" spans="1:4" x14ac:dyDescent="0.25">
      <c r="A628" s="29">
        <v>259</v>
      </c>
      <c r="B628" t="s">
        <v>303</v>
      </c>
      <c r="C628" s="29">
        <v>3</v>
      </c>
      <c r="D628" s="29">
        <v>982</v>
      </c>
    </row>
    <row r="629" spans="1:4" x14ac:dyDescent="0.25">
      <c r="A629" s="29">
        <v>1038</v>
      </c>
      <c r="B629" t="s">
        <v>1082</v>
      </c>
      <c r="C629" s="29">
        <v>1</v>
      </c>
      <c r="D629" s="29">
        <v>982</v>
      </c>
    </row>
    <row r="630" spans="1:4" x14ac:dyDescent="0.25">
      <c r="A630" s="29">
        <v>79</v>
      </c>
      <c r="B630" t="s">
        <v>123</v>
      </c>
      <c r="C630" s="29">
        <v>4</v>
      </c>
      <c r="D630" s="29">
        <v>983</v>
      </c>
    </row>
    <row r="631" spans="1:4" x14ac:dyDescent="0.25">
      <c r="A631" s="29">
        <v>668</v>
      </c>
      <c r="B631" t="s">
        <v>712</v>
      </c>
      <c r="C631" s="29">
        <v>1</v>
      </c>
      <c r="D631" s="29">
        <v>984</v>
      </c>
    </row>
    <row r="632" spans="1:4" x14ac:dyDescent="0.25">
      <c r="A632" s="29">
        <v>763</v>
      </c>
      <c r="B632" t="s">
        <v>807</v>
      </c>
      <c r="C632" s="29">
        <v>1</v>
      </c>
      <c r="D632" s="29">
        <v>988</v>
      </c>
    </row>
    <row r="633" spans="1:4" x14ac:dyDescent="0.25">
      <c r="A633" s="29">
        <v>367</v>
      </c>
      <c r="B633" t="s">
        <v>411</v>
      </c>
      <c r="C633" s="29">
        <v>1</v>
      </c>
      <c r="D633" s="29">
        <v>990</v>
      </c>
    </row>
    <row r="634" spans="1:4" x14ac:dyDescent="0.25">
      <c r="A634" s="29">
        <v>1160</v>
      </c>
      <c r="B634" t="s">
        <v>1204</v>
      </c>
      <c r="C634" s="29">
        <v>2</v>
      </c>
      <c r="D634" s="29">
        <v>990</v>
      </c>
    </row>
    <row r="635" spans="1:4" x14ac:dyDescent="0.25">
      <c r="A635" s="29">
        <v>64</v>
      </c>
      <c r="B635" t="s">
        <v>108</v>
      </c>
      <c r="C635" s="29">
        <v>1</v>
      </c>
      <c r="D635" s="29">
        <v>992</v>
      </c>
    </row>
    <row r="636" spans="1:4" x14ac:dyDescent="0.25">
      <c r="A636" s="29">
        <v>863</v>
      </c>
      <c r="B636" t="s">
        <v>907</v>
      </c>
      <c r="C636" s="29">
        <v>1</v>
      </c>
      <c r="D636" s="29">
        <v>996</v>
      </c>
    </row>
    <row r="637" spans="1:4" x14ac:dyDescent="0.25">
      <c r="A637" s="29">
        <v>908</v>
      </c>
      <c r="B637" t="s">
        <v>952</v>
      </c>
      <c r="C637" s="29">
        <v>1</v>
      </c>
      <c r="D637" s="29">
        <v>996</v>
      </c>
    </row>
    <row r="638" spans="1:4" x14ac:dyDescent="0.25">
      <c r="A638" s="29">
        <v>3</v>
      </c>
      <c r="B638" t="s">
        <v>39</v>
      </c>
      <c r="C638" s="29">
        <v>1</v>
      </c>
      <c r="D638" s="29">
        <v>998</v>
      </c>
    </row>
    <row r="639" spans="1:4" x14ac:dyDescent="0.25">
      <c r="A639" s="29">
        <v>321</v>
      </c>
      <c r="B639" t="s">
        <v>365</v>
      </c>
      <c r="C639" s="29">
        <v>6</v>
      </c>
      <c r="D639" s="29">
        <v>999</v>
      </c>
    </row>
    <row r="640" spans="1:4" x14ac:dyDescent="0.25">
      <c r="A640" s="29">
        <v>147</v>
      </c>
      <c r="B640" t="s">
        <v>191</v>
      </c>
      <c r="C640" s="29">
        <v>2</v>
      </c>
      <c r="D640" s="29">
        <v>1001</v>
      </c>
    </row>
    <row r="641" spans="1:4" x14ac:dyDescent="0.25">
      <c r="A641" s="29">
        <v>805</v>
      </c>
      <c r="B641" t="s">
        <v>849</v>
      </c>
      <c r="C641" s="29">
        <v>4</v>
      </c>
      <c r="D641" s="29">
        <v>1001</v>
      </c>
    </row>
    <row r="642" spans="1:4" x14ac:dyDescent="0.25">
      <c r="A642" s="29">
        <v>854</v>
      </c>
      <c r="B642" t="s">
        <v>898</v>
      </c>
      <c r="C642" s="29">
        <v>5</v>
      </c>
      <c r="D642" s="29">
        <v>1002</v>
      </c>
    </row>
    <row r="643" spans="1:4" x14ac:dyDescent="0.25">
      <c r="A643" s="29">
        <v>202</v>
      </c>
      <c r="B643" t="s">
        <v>246</v>
      </c>
      <c r="C643" s="29">
        <v>1</v>
      </c>
      <c r="D643" s="29">
        <v>1004</v>
      </c>
    </row>
    <row r="644" spans="1:4" x14ac:dyDescent="0.25">
      <c r="A644" s="29">
        <v>252</v>
      </c>
      <c r="B644" t="s">
        <v>296</v>
      </c>
      <c r="C644" s="29">
        <v>5</v>
      </c>
      <c r="D644" s="29">
        <v>1004</v>
      </c>
    </row>
    <row r="645" spans="1:4" x14ac:dyDescent="0.25">
      <c r="A645" s="29">
        <v>313</v>
      </c>
      <c r="B645" t="s">
        <v>357</v>
      </c>
      <c r="C645" s="29">
        <v>1</v>
      </c>
      <c r="D645" s="29">
        <v>1005</v>
      </c>
    </row>
    <row r="646" spans="1:4" x14ac:dyDescent="0.25">
      <c r="A646" s="29">
        <v>295</v>
      </c>
      <c r="B646" t="s">
        <v>339</v>
      </c>
      <c r="C646" s="29">
        <v>1</v>
      </c>
      <c r="D646" s="29">
        <v>1008</v>
      </c>
    </row>
    <row r="647" spans="1:4" x14ac:dyDescent="0.25">
      <c r="A647" s="29">
        <v>1052</v>
      </c>
      <c r="B647" t="s">
        <v>1096</v>
      </c>
      <c r="C647" s="29">
        <v>1</v>
      </c>
      <c r="D647" s="29">
        <v>1008</v>
      </c>
    </row>
    <row r="648" spans="1:4" x14ac:dyDescent="0.25">
      <c r="A648" s="29">
        <v>1079</v>
      </c>
      <c r="B648" t="s">
        <v>1123</v>
      </c>
      <c r="C648" s="29">
        <v>1</v>
      </c>
      <c r="D648" s="29">
        <v>1008</v>
      </c>
    </row>
    <row r="649" spans="1:4" x14ac:dyDescent="0.25">
      <c r="A649" s="29">
        <v>672</v>
      </c>
      <c r="B649" t="s">
        <v>716</v>
      </c>
      <c r="C649" s="29">
        <v>5</v>
      </c>
      <c r="D649" s="29">
        <v>1009</v>
      </c>
    </row>
    <row r="650" spans="1:4" x14ac:dyDescent="0.25">
      <c r="A650" s="29">
        <v>875</v>
      </c>
      <c r="B650" t="s">
        <v>919</v>
      </c>
      <c r="C650" s="29">
        <v>2</v>
      </c>
      <c r="D650" s="29">
        <v>1009</v>
      </c>
    </row>
    <row r="651" spans="1:4" x14ac:dyDescent="0.25">
      <c r="A651" s="29">
        <v>579</v>
      </c>
      <c r="B651" t="s">
        <v>623</v>
      </c>
      <c r="C651" s="29">
        <v>1</v>
      </c>
      <c r="D651" s="29">
        <v>1011</v>
      </c>
    </row>
    <row r="652" spans="1:4" x14ac:dyDescent="0.25">
      <c r="A652" s="29">
        <v>32</v>
      </c>
      <c r="B652" t="s">
        <v>76</v>
      </c>
      <c r="C652" s="29">
        <v>1</v>
      </c>
      <c r="D652" s="29">
        <v>1012</v>
      </c>
    </row>
    <row r="653" spans="1:4" x14ac:dyDescent="0.25">
      <c r="A653" s="29">
        <v>563</v>
      </c>
      <c r="B653" t="s">
        <v>607</v>
      </c>
      <c r="C653" s="29">
        <v>1</v>
      </c>
      <c r="D653" s="29">
        <v>1012</v>
      </c>
    </row>
    <row r="654" spans="1:4" x14ac:dyDescent="0.25">
      <c r="A654" s="29">
        <v>1087</v>
      </c>
      <c r="B654" t="s">
        <v>1131</v>
      </c>
      <c r="C654" s="29">
        <v>1</v>
      </c>
      <c r="D654" s="29">
        <v>1015</v>
      </c>
    </row>
    <row r="655" spans="1:4" x14ac:dyDescent="0.25">
      <c r="A655" s="29">
        <v>387</v>
      </c>
      <c r="B655" t="s">
        <v>431</v>
      </c>
      <c r="C655" s="29">
        <v>1</v>
      </c>
      <c r="D655" s="29">
        <v>1017</v>
      </c>
    </row>
    <row r="656" spans="1:4" x14ac:dyDescent="0.25">
      <c r="A656" s="29">
        <v>506</v>
      </c>
      <c r="B656" t="s">
        <v>550</v>
      </c>
      <c r="C656" s="29">
        <v>1</v>
      </c>
      <c r="D656" s="29">
        <v>1019</v>
      </c>
    </row>
    <row r="657" spans="1:4" x14ac:dyDescent="0.25">
      <c r="A657" s="29">
        <v>820</v>
      </c>
      <c r="B657" t="s">
        <v>864</v>
      </c>
      <c r="C657" s="29">
        <v>5</v>
      </c>
      <c r="D657" s="29">
        <v>1019</v>
      </c>
    </row>
    <row r="658" spans="1:4" x14ac:dyDescent="0.25">
      <c r="A658" s="29">
        <v>884</v>
      </c>
      <c r="B658" t="s">
        <v>928</v>
      </c>
      <c r="C658" s="29">
        <v>4</v>
      </c>
      <c r="D658" s="29">
        <v>1028</v>
      </c>
    </row>
    <row r="659" spans="1:4" x14ac:dyDescent="0.25">
      <c r="A659" s="29">
        <v>984</v>
      </c>
      <c r="B659" t="s">
        <v>1028</v>
      </c>
      <c r="C659" s="29">
        <v>1</v>
      </c>
      <c r="D659" s="29">
        <v>1028</v>
      </c>
    </row>
    <row r="660" spans="1:4" x14ac:dyDescent="0.25">
      <c r="A660" s="29">
        <v>669</v>
      </c>
      <c r="B660" t="s">
        <v>713</v>
      </c>
      <c r="C660" s="29">
        <v>1</v>
      </c>
      <c r="D660" s="29">
        <v>1030</v>
      </c>
    </row>
    <row r="661" spans="1:4" x14ac:dyDescent="0.25">
      <c r="A661" s="29">
        <v>263</v>
      </c>
      <c r="B661" t="s">
        <v>307</v>
      </c>
      <c r="C661" s="29">
        <v>3</v>
      </c>
      <c r="D661" s="29">
        <v>1032</v>
      </c>
    </row>
    <row r="662" spans="1:4" x14ac:dyDescent="0.25">
      <c r="A662" s="29">
        <v>559</v>
      </c>
      <c r="B662" t="s">
        <v>603</v>
      </c>
      <c r="C662" s="29">
        <v>5</v>
      </c>
      <c r="D662" s="29">
        <v>1033</v>
      </c>
    </row>
    <row r="663" spans="1:4" x14ac:dyDescent="0.25">
      <c r="A663" s="29">
        <v>208</v>
      </c>
      <c r="B663" t="s">
        <v>252</v>
      </c>
      <c r="C663" s="29">
        <v>4</v>
      </c>
      <c r="D663" s="29">
        <v>1036</v>
      </c>
    </row>
    <row r="664" spans="1:4" x14ac:dyDescent="0.25">
      <c r="A664" s="29">
        <v>226</v>
      </c>
      <c r="B664" t="s">
        <v>270</v>
      </c>
      <c r="C664" s="29">
        <v>1</v>
      </c>
      <c r="D664" s="29">
        <v>1039</v>
      </c>
    </row>
    <row r="665" spans="1:4" x14ac:dyDescent="0.25">
      <c r="A665" s="29">
        <v>1027</v>
      </c>
      <c r="B665" t="s">
        <v>1071</v>
      </c>
      <c r="C665" s="29">
        <v>1</v>
      </c>
      <c r="D665" s="29">
        <v>1039</v>
      </c>
    </row>
    <row r="666" spans="1:4" x14ac:dyDescent="0.25">
      <c r="A666" s="29">
        <v>993</v>
      </c>
      <c r="B666" t="s">
        <v>1037</v>
      </c>
      <c r="C666" s="29">
        <v>1</v>
      </c>
      <c r="D666" s="29">
        <v>1042</v>
      </c>
    </row>
    <row r="667" spans="1:4" x14ac:dyDescent="0.25">
      <c r="A667" s="29">
        <v>1183</v>
      </c>
      <c r="B667" t="s">
        <v>1227</v>
      </c>
      <c r="C667" s="29">
        <v>1</v>
      </c>
      <c r="D667" s="29">
        <v>1042</v>
      </c>
    </row>
    <row r="668" spans="1:4" x14ac:dyDescent="0.25">
      <c r="A668" s="29">
        <v>72</v>
      </c>
      <c r="B668" t="s">
        <v>116</v>
      </c>
      <c r="C668" s="29">
        <v>1</v>
      </c>
      <c r="D668" s="29">
        <v>1044</v>
      </c>
    </row>
    <row r="669" spans="1:4" x14ac:dyDescent="0.25">
      <c r="A669" s="29">
        <v>645</v>
      </c>
      <c r="B669" t="s">
        <v>689</v>
      </c>
      <c r="C669" s="29">
        <v>2</v>
      </c>
      <c r="D669" s="29">
        <v>1044</v>
      </c>
    </row>
    <row r="670" spans="1:4" x14ac:dyDescent="0.25">
      <c r="A670" s="29">
        <v>1192</v>
      </c>
      <c r="B670" t="s">
        <v>1236</v>
      </c>
      <c r="C670" s="29">
        <v>1</v>
      </c>
      <c r="D670" s="29">
        <v>1045</v>
      </c>
    </row>
    <row r="671" spans="1:4" x14ac:dyDescent="0.25">
      <c r="A671" s="29">
        <v>1005</v>
      </c>
      <c r="B671" t="s">
        <v>1049</v>
      </c>
      <c r="C671" s="29">
        <v>2</v>
      </c>
      <c r="D671" s="29">
        <v>1046</v>
      </c>
    </row>
    <row r="672" spans="1:4" x14ac:dyDescent="0.25">
      <c r="A672" s="29">
        <v>89</v>
      </c>
      <c r="B672" t="s">
        <v>133</v>
      </c>
      <c r="C672" s="29">
        <v>1</v>
      </c>
      <c r="D672" s="29">
        <v>1051</v>
      </c>
    </row>
    <row r="673" spans="1:4" x14ac:dyDescent="0.25">
      <c r="A673" s="29">
        <v>1114</v>
      </c>
      <c r="B673" t="s">
        <v>1158</v>
      </c>
      <c r="C673" s="29">
        <v>1</v>
      </c>
      <c r="D673" s="29">
        <v>1057</v>
      </c>
    </row>
    <row r="674" spans="1:4" x14ac:dyDescent="0.25">
      <c r="A674" s="29">
        <v>852</v>
      </c>
      <c r="B674" t="s">
        <v>896</v>
      </c>
      <c r="C674" s="29">
        <v>5</v>
      </c>
      <c r="D674" s="29">
        <v>1063</v>
      </c>
    </row>
    <row r="675" spans="1:4" x14ac:dyDescent="0.25">
      <c r="A675" s="29">
        <v>174</v>
      </c>
      <c r="B675" t="s">
        <v>218</v>
      </c>
      <c r="C675" s="29">
        <v>1</v>
      </c>
      <c r="D675" s="29">
        <v>1064</v>
      </c>
    </row>
    <row r="676" spans="1:4" x14ac:dyDescent="0.25">
      <c r="A676" s="29">
        <v>654</v>
      </c>
      <c r="B676" t="s">
        <v>698</v>
      </c>
      <c r="C676" s="29">
        <v>1</v>
      </c>
      <c r="D676" s="29">
        <v>1067</v>
      </c>
    </row>
    <row r="677" spans="1:4" x14ac:dyDescent="0.25">
      <c r="A677" s="29">
        <v>116</v>
      </c>
      <c r="B677" t="s">
        <v>160</v>
      </c>
      <c r="C677" s="29">
        <v>1</v>
      </c>
      <c r="D677" s="29">
        <v>1071</v>
      </c>
    </row>
    <row r="678" spans="1:4" x14ac:dyDescent="0.25">
      <c r="A678" s="29">
        <v>1010</v>
      </c>
      <c r="B678" t="s">
        <v>1054</v>
      </c>
      <c r="C678" s="29">
        <v>4</v>
      </c>
      <c r="D678" s="29">
        <v>1071</v>
      </c>
    </row>
    <row r="679" spans="1:4" x14ac:dyDescent="0.25">
      <c r="A679" s="29">
        <v>610</v>
      </c>
      <c r="B679" t="s">
        <v>654</v>
      </c>
      <c r="C679" s="29">
        <v>3</v>
      </c>
      <c r="D679" s="29">
        <v>1073</v>
      </c>
    </row>
    <row r="680" spans="1:4" x14ac:dyDescent="0.25">
      <c r="A680" s="29">
        <v>1150</v>
      </c>
      <c r="B680" t="s">
        <v>1194</v>
      </c>
      <c r="C680" s="29">
        <v>1</v>
      </c>
      <c r="D680" s="29">
        <v>1076</v>
      </c>
    </row>
    <row r="681" spans="1:4" x14ac:dyDescent="0.25">
      <c r="A681" s="29">
        <v>642</v>
      </c>
      <c r="B681" t="s">
        <v>686</v>
      </c>
      <c r="C681" s="29">
        <v>1</v>
      </c>
      <c r="D681" s="29">
        <v>1083</v>
      </c>
    </row>
    <row r="682" spans="1:4" x14ac:dyDescent="0.25">
      <c r="A682" s="29">
        <v>215</v>
      </c>
      <c r="B682" t="s">
        <v>259</v>
      </c>
      <c r="C682" s="29">
        <v>5</v>
      </c>
      <c r="D682" s="29">
        <v>1084</v>
      </c>
    </row>
    <row r="683" spans="1:4" x14ac:dyDescent="0.25">
      <c r="A683" s="29">
        <v>770</v>
      </c>
      <c r="B683" t="s">
        <v>814</v>
      </c>
      <c r="C683" s="29">
        <v>5</v>
      </c>
      <c r="D683" s="29">
        <v>1086</v>
      </c>
    </row>
    <row r="684" spans="1:4" x14ac:dyDescent="0.25">
      <c r="A684" s="29">
        <v>344</v>
      </c>
      <c r="B684" t="s">
        <v>388</v>
      </c>
      <c r="C684" s="29">
        <v>2</v>
      </c>
      <c r="D684" s="29">
        <v>1087</v>
      </c>
    </row>
    <row r="685" spans="1:4" x14ac:dyDescent="0.25">
      <c r="A685" s="29">
        <v>366</v>
      </c>
      <c r="B685" t="s">
        <v>410</v>
      </c>
      <c r="C685" s="29">
        <v>2</v>
      </c>
      <c r="D685" s="29">
        <v>1087</v>
      </c>
    </row>
    <row r="686" spans="1:4" x14ac:dyDescent="0.25">
      <c r="A686" s="29">
        <v>453</v>
      </c>
      <c r="B686" t="s">
        <v>497</v>
      </c>
      <c r="C686" s="29">
        <v>4</v>
      </c>
      <c r="D686" s="29">
        <v>1090</v>
      </c>
    </row>
    <row r="687" spans="1:4" x14ac:dyDescent="0.25">
      <c r="A687" s="29">
        <v>516</v>
      </c>
      <c r="B687" t="s">
        <v>560</v>
      </c>
      <c r="C687" s="29">
        <v>1</v>
      </c>
      <c r="D687" s="29">
        <v>1095</v>
      </c>
    </row>
    <row r="688" spans="1:4" x14ac:dyDescent="0.25">
      <c r="A688" s="29">
        <v>1035</v>
      </c>
      <c r="B688" t="s">
        <v>1079</v>
      </c>
      <c r="C688" s="29">
        <v>1</v>
      </c>
      <c r="D688" s="29">
        <v>1095</v>
      </c>
    </row>
    <row r="689" spans="1:4" x14ac:dyDescent="0.25">
      <c r="A689" s="29">
        <v>721</v>
      </c>
      <c r="B689" t="s">
        <v>765</v>
      </c>
      <c r="C689" s="29">
        <v>1</v>
      </c>
      <c r="D689" s="29">
        <v>1096</v>
      </c>
    </row>
    <row r="690" spans="1:4" x14ac:dyDescent="0.25">
      <c r="A690" s="29">
        <v>397</v>
      </c>
      <c r="B690" t="s">
        <v>441</v>
      </c>
      <c r="C690" s="29">
        <v>1</v>
      </c>
      <c r="D690" s="29">
        <v>1098</v>
      </c>
    </row>
    <row r="691" spans="1:4" x14ac:dyDescent="0.25">
      <c r="A691" s="29">
        <v>778</v>
      </c>
      <c r="B691" t="s">
        <v>822</v>
      </c>
      <c r="C691" s="29">
        <v>1</v>
      </c>
      <c r="D691" s="29">
        <v>1100</v>
      </c>
    </row>
    <row r="692" spans="1:4" x14ac:dyDescent="0.25">
      <c r="A692" s="29">
        <v>910</v>
      </c>
      <c r="B692" t="s">
        <v>954</v>
      </c>
      <c r="C692" s="29">
        <v>2</v>
      </c>
      <c r="D692" s="29">
        <v>1104</v>
      </c>
    </row>
    <row r="693" spans="1:4" x14ac:dyDescent="0.25">
      <c r="A693" s="29">
        <v>508</v>
      </c>
      <c r="B693" t="s">
        <v>552</v>
      </c>
      <c r="C693" s="29">
        <v>5</v>
      </c>
      <c r="D693" s="29">
        <v>1105</v>
      </c>
    </row>
    <row r="694" spans="1:4" x14ac:dyDescent="0.25">
      <c r="A694" s="29">
        <v>358</v>
      </c>
      <c r="B694" t="s">
        <v>402</v>
      </c>
      <c r="C694" s="29">
        <v>4</v>
      </c>
      <c r="D694" s="29">
        <v>1106</v>
      </c>
    </row>
    <row r="695" spans="1:4" x14ac:dyDescent="0.25">
      <c r="A695" s="29">
        <v>329</v>
      </c>
      <c r="B695" t="s">
        <v>373</v>
      </c>
      <c r="C695" s="29">
        <v>1</v>
      </c>
      <c r="D695" s="29">
        <v>1108</v>
      </c>
    </row>
    <row r="696" spans="1:4" x14ac:dyDescent="0.25">
      <c r="A696" s="29">
        <v>945</v>
      </c>
      <c r="B696" t="s">
        <v>989</v>
      </c>
      <c r="C696" s="29">
        <v>1</v>
      </c>
      <c r="D696" s="29">
        <v>1110</v>
      </c>
    </row>
    <row r="697" spans="1:4" x14ac:dyDescent="0.25">
      <c r="A697" s="29">
        <v>491</v>
      </c>
      <c r="B697" t="s">
        <v>535</v>
      </c>
      <c r="C697" s="29">
        <v>1</v>
      </c>
      <c r="D697" s="29">
        <v>1114</v>
      </c>
    </row>
    <row r="698" spans="1:4" x14ac:dyDescent="0.25">
      <c r="A698" s="29">
        <v>756</v>
      </c>
      <c r="B698" t="s">
        <v>800</v>
      </c>
      <c r="C698" s="29">
        <v>1</v>
      </c>
      <c r="D698" s="29">
        <v>1117</v>
      </c>
    </row>
    <row r="699" spans="1:4" x14ac:dyDescent="0.25">
      <c r="A699" s="29">
        <v>775</v>
      </c>
      <c r="B699" t="s">
        <v>819</v>
      </c>
      <c r="C699" s="29">
        <v>1</v>
      </c>
      <c r="D699" s="29">
        <v>1119</v>
      </c>
    </row>
    <row r="700" spans="1:4" x14ac:dyDescent="0.25">
      <c r="A700" s="29">
        <v>459</v>
      </c>
      <c r="B700" t="s">
        <v>503</v>
      </c>
      <c r="C700" s="29">
        <v>1</v>
      </c>
      <c r="D700" s="29">
        <v>1121</v>
      </c>
    </row>
    <row r="701" spans="1:4" x14ac:dyDescent="0.25">
      <c r="A701" s="29">
        <v>190</v>
      </c>
      <c r="B701" t="s">
        <v>234</v>
      </c>
      <c r="C701" s="29">
        <v>3</v>
      </c>
      <c r="D701" s="29">
        <v>1122</v>
      </c>
    </row>
    <row r="702" spans="1:4" x14ac:dyDescent="0.25">
      <c r="A702" s="29">
        <v>979</v>
      </c>
      <c r="B702" t="s">
        <v>1023</v>
      </c>
      <c r="C702" s="29">
        <v>2</v>
      </c>
      <c r="D702" s="29">
        <v>1123</v>
      </c>
    </row>
    <row r="703" spans="1:4" x14ac:dyDescent="0.25">
      <c r="A703" s="29">
        <v>115</v>
      </c>
      <c r="B703" t="s">
        <v>159</v>
      </c>
      <c r="C703" s="29">
        <v>5</v>
      </c>
      <c r="D703" s="29">
        <v>1125</v>
      </c>
    </row>
    <row r="704" spans="1:4" x14ac:dyDescent="0.25">
      <c r="A704" s="29">
        <v>108</v>
      </c>
      <c r="B704" t="s">
        <v>152</v>
      </c>
      <c r="C704" s="29">
        <v>5</v>
      </c>
      <c r="D704" s="29">
        <v>1126</v>
      </c>
    </row>
    <row r="705" spans="1:4" x14ac:dyDescent="0.25">
      <c r="A705" s="29">
        <v>279</v>
      </c>
      <c r="B705" t="s">
        <v>323</v>
      </c>
      <c r="C705" s="29">
        <v>4</v>
      </c>
      <c r="D705" s="29">
        <v>1126</v>
      </c>
    </row>
    <row r="706" spans="1:4" x14ac:dyDescent="0.25">
      <c r="A706" s="29">
        <v>1048</v>
      </c>
      <c r="B706" t="s">
        <v>1092</v>
      </c>
      <c r="C706" s="29">
        <v>1</v>
      </c>
      <c r="D706" s="29">
        <v>1126</v>
      </c>
    </row>
    <row r="707" spans="1:4" x14ac:dyDescent="0.25">
      <c r="A707" s="29">
        <v>940</v>
      </c>
      <c r="B707" t="s">
        <v>984</v>
      </c>
      <c r="C707" s="29">
        <v>2</v>
      </c>
      <c r="D707" s="29">
        <v>1130</v>
      </c>
    </row>
    <row r="708" spans="1:4" x14ac:dyDescent="0.25">
      <c r="A708" s="29">
        <v>819</v>
      </c>
      <c r="B708" t="s">
        <v>863</v>
      </c>
      <c r="C708" s="29">
        <v>1</v>
      </c>
      <c r="D708" s="29">
        <v>1132</v>
      </c>
    </row>
    <row r="709" spans="1:4" x14ac:dyDescent="0.25">
      <c r="A709" s="29">
        <v>817</v>
      </c>
      <c r="B709" t="s">
        <v>861</v>
      </c>
      <c r="C709" s="29">
        <v>1</v>
      </c>
      <c r="D709" s="29">
        <v>1135</v>
      </c>
    </row>
    <row r="710" spans="1:4" x14ac:dyDescent="0.25">
      <c r="A710" s="29">
        <v>1100</v>
      </c>
      <c r="B710" t="s">
        <v>1144</v>
      </c>
      <c r="C710" s="29">
        <v>4</v>
      </c>
      <c r="D710" s="29">
        <v>1144</v>
      </c>
    </row>
    <row r="711" spans="1:4" x14ac:dyDescent="0.25">
      <c r="A711" s="29">
        <v>1074</v>
      </c>
      <c r="B711" t="s">
        <v>1118</v>
      </c>
      <c r="C711" s="29">
        <v>1</v>
      </c>
      <c r="D711" s="29">
        <v>1145</v>
      </c>
    </row>
    <row r="712" spans="1:4" x14ac:dyDescent="0.25">
      <c r="A712" s="29">
        <v>59</v>
      </c>
      <c r="B712" t="s">
        <v>103</v>
      </c>
      <c r="C712" s="29">
        <v>4</v>
      </c>
      <c r="D712" s="29">
        <v>1150</v>
      </c>
    </row>
    <row r="713" spans="1:4" x14ac:dyDescent="0.25">
      <c r="A713" s="29">
        <v>289</v>
      </c>
      <c r="B713" t="s">
        <v>333</v>
      </c>
      <c r="C713" s="29">
        <v>2</v>
      </c>
      <c r="D713" s="29">
        <v>1150</v>
      </c>
    </row>
    <row r="714" spans="1:4" x14ac:dyDescent="0.25">
      <c r="A714" s="29">
        <v>148</v>
      </c>
      <c r="B714" t="s">
        <v>192</v>
      </c>
      <c r="C714" s="29">
        <v>1</v>
      </c>
      <c r="D714" s="29">
        <v>1153</v>
      </c>
    </row>
    <row r="715" spans="1:4" x14ac:dyDescent="0.25">
      <c r="A715" s="29">
        <v>1133</v>
      </c>
      <c r="B715" t="s">
        <v>1177</v>
      </c>
      <c r="C715" s="29">
        <v>1</v>
      </c>
      <c r="D715" s="29">
        <v>1156</v>
      </c>
    </row>
    <row r="716" spans="1:4" x14ac:dyDescent="0.25">
      <c r="A716" s="29">
        <v>1039</v>
      </c>
      <c r="B716" t="s">
        <v>1083</v>
      </c>
      <c r="C716" s="29">
        <v>3</v>
      </c>
      <c r="D716" s="29">
        <v>1159</v>
      </c>
    </row>
    <row r="717" spans="1:4" x14ac:dyDescent="0.25">
      <c r="A717" s="29">
        <v>388</v>
      </c>
      <c r="B717" t="s">
        <v>432</v>
      </c>
      <c r="C717" s="29">
        <v>1</v>
      </c>
      <c r="D717" s="29">
        <v>1160</v>
      </c>
    </row>
    <row r="718" spans="1:4" x14ac:dyDescent="0.25">
      <c r="A718" s="29">
        <v>196</v>
      </c>
      <c r="B718" t="s">
        <v>240</v>
      </c>
      <c r="C718" s="29">
        <v>1</v>
      </c>
      <c r="D718" s="29">
        <v>1161</v>
      </c>
    </row>
    <row r="719" spans="1:4" x14ac:dyDescent="0.25">
      <c r="A719" s="29">
        <v>614</v>
      </c>
      <c r="B719" t="s">
        <v>658</v>
      </c>
      <c r="C719" s="29">
        <v>1</v>
      </c>
      <c r="D719" s="29">
        <v>1161</v>
      </c>
    </row>
    <row r="720" spans="1:4" x14ac:dyDescent="0.25">
      <c r="A720" s="29">
        <v>120</v>
      </c>
      <c r="B720" t="s">
        <v>164</v>
      </c>
      <c r="C720" s="29">
        <v>1</v>
      </c>
      <c r="D720" s="29">
        <v>1162</v>
      </c>
    </row>
    <row r="721" spans="1:4" x14ac:dyDescent="0.25">
      <c r="A721" s="29">
        <v>83</v>
      </c>
      <c r="B721" t="s">
        <v>127</v>
      </c>
      <c r="C721" s="29">
        <v>1</v>
      </c>
      <c r="D721" s="29">
        <v>1168</v>
      </c>
    </row>
    <row r="722" spans="1:4" x14ac:dyDescent="0.25">
      <c r="A722" s="29">
        <v>125</v>
      </c>
      <c r="B722" t="s">
        <v>169</v>
      </c>
      <c r="C722" s="29">
        <v>2</v>
      </c>
      <c r="D722" s="29">
        <v>1172</v>
      </c>
    </row>
    <row r="723" spans="1:4" x14ac:dyDescent="0.25">
      <c r="A723" s="29">
        <v>855</v>
      </c>
      <c r="B723" t="s">
        <v>899</v>
      </c>
      <c r="C723" s="29">
        <v>1</v>
      </c>
      <c r="D723" s="29">
        <v>1173</v>
      </c>
    </row>
    <row r="724" spans="1:4" x14ac:dyDescent="0.25">
      <c r="A724" s="29">
        <v>1122</v>
      </c>
      <c r="B724" t="s">
        <v>1166</v>
      </c>
      <c r="C724" s="29">
        <v>1</v>
      </c>
      <c r="D724" s="29">
        <v>1176</v>
      </c>
    </row>
    <row r="725" spans="1:4" x14ac:dyDescent="0.25">
      <c r="A725" s="29">
        <v>134</v>
      </c>
      <c r="B725" t="s">
        <v>178</v>
      </c>
      <c r="C725" s="29">
        <v>1</v>
      </c>
      <c r="D725" s="29">
        <v>1180</v>
      </c>
    </row>
    <row r="726" spans="1:4" x14ac:dyDescent="0.25">
      <c r="A726" s="29">
        <v>53</v>
      </c>
      <c r="B726" t="s">
        <v>97</v>
      </c>
      <c r="C726" s="29">
        <v>6</v>
      </c>
      <c r="D726" s="29">
        <v>1181</v>
      </c>
    </row>
    <row r="727" spans="1:4" x14ac:dyDescent="0.25">
      <c r="A727" s="29">
        <v>181</v>
      </c>
      <c r="B727" t="s">
        <v>225</v>
      </c>
      <c r="C727" s="29">
        <v>4</v>
      </c>
      <c r="D727" s="29">
        <v>1182</v>
      </c>
    </row>
    <row r="728" spans="1:4" x14ac:dyDescent="0.25">
      <c r="A728" s="29">
        <v>462</v>
      </c>
      <c r="B728" t="s">
        <v>506</v>
      </c>
      <c r="C728" s="29">
        <v>2</v>
      </c>
      <c r="D728" s="29">
        <v>1182</v>
      </c>
    </row>
    <row r="729" spans="1:4" x14ac:dyDescent="0.25">
      <c r="A729" s="29">
        <v>1050</v>
      </c>
      <c r="B729" t="s">
        <v>1094</v>
      </c>
      <c r="C729" s="29">
        <v>1</v>
      </c>
      <c r="D729" s="29">
        <v>1182</v>
      </c>
    </row>
    <row r="730" spans="1:4" x14ac:dyDescent="0.25">
      <c r="A730" s="29">
        <v>483</v>
      </c>
      <c r="B730" t="s">
        <v>527</v>
      </c>
      <c r="C730" s="29">
        <v>5</v>
      </c>
      <c r="D730" s="29">
        <v>1183</v>
      </c>
    </row>
    <row r="731" spans="1:4" x14ac:dyDescent="0.25">
      <c r="A731" s="29">
        <v>1155</v>
      </c>
      <c r="B731" t="s">
        <v>1199</v>
      </c>
      <c r="C731" s="29">
        <v>4</v>
      </c>
      <c r="D731" s="29">
        <v>1183</v>
      </c>
    </row>
    <row r="732" spans="1:4" x14ac:dyDescent="0.25">
      <c r="A732" s="29">
        <v>498</v>
      </c>
      <c r="B732" t="s">
        <v>542</v>
      </c>
      <c r="C732" s="29">
        <v>1</v>
      </c>
      <c r="D732" s="29">
        <v>1185</v>
      </c>
    </row>
    <row r="733" spans="1:4" x14ac:dyDescent="0.25">
      <c r="A733" s="29">
        <v>743</v>
      </c>
      <c r="B733" t="s">
        <v>787</v>
      </c>
      <c r="C733" s="29">
        <v>4</v>
      </c>
      <c r="D733" s="29">
        <v>1189</v>
      </c>
    </row>
    <row r="734" spans="1:4" x14ac:dyDescent="0.25">
      <c r="A734" s="29">
        <v>769</v>
      </c>
      <c r="B734" t="s">
        <v>813</v>
      </c>
      <c r="C734" s="29">
        <v>1</v>
      </c>
      <c r="D734" s="29">
        <v>1189</v>
      </c>
    </row>
    <row r="735" spans="1:4" x14ac:dyDescent="0.25">
      <c r="A735" s="29">
        <v>191</v>
      </c>
      <c r="B735" t="s">
        <v>235</v>
      </c>
      <c r="C735" s="29">
        <v>1</v>
      </c>
      <c r="D735" s="29">
        <v>1192</v>
      </c>
    </row>
    <row r="736" spans="1:4" x14ac:dyDescent="0.25">
      <c r="A736" s="29">
        <v>680</v>
      </c>
      <c r="B736" t="s">
        <v>724</v>
      </c>
      <c r="C736" s="29">
        <v>1</v>
      </c>
      <c r="D736" s="29">
        <v>1192</v>
      </c>
    </row>
    <row r="737" spans="1:4" x14ac:dyDescent="0.25">
      <c r="A737" s="29">
        <v>288</v>
      </c>
      <c r="B737" t="s">
        <v>332</v>
      </c>
      <c r="C737" s="29">
        <v>4</v>
      </c>
      <c r="D737" s="29">
        <v>1193</v>
      </c>
    </row>
    <row r="738" spans="1:4" x14ac:dyDescent="0.25">
      <c r="A738" s="29">
        <v>260</v>
      </c>
      <c r="B738" t="s">
        <v>304</v>
      </c>
      <c r="C738" s="29">
        <v>1</v>
      </c>
      <c r="D738" s="29">
        <v>1199</v>
      </c>
    </row>
    <row r="739" spans="1:4" x14ac:dyDescent="0.25">
      <c r="A739" s="29">
        <v>439</v>
      </c>
      <c r="B739" t="s">
        <v>483</v>
      </c>
      <c r="C739" s="29">
        <v>6</v>
      </c>
      <c r="D739" s="29">
        <v>1204</v>
      </c>
    </row>
    <row r="740" spans="1:4" x14ac:dyDescent="0.25">
      <c r="A740" s="29">
        <v>1105</v>
      </c>
      <c r="B740" t="s">
        <v>1149</v>
      </c>
      <c r="C740" s="29">
        <v>4</v>
      </c>
      <c r="D740" s="29">
        <v>1205</v>
      </c>
    </row>
    <row r="741" spans="1:4" x14ac:dyDescent="0.25">
      <c r="A741" s="29">
        <v>117</v>
      </c>
      <c r="B741" t="s">
        <v>161</v>
      </c>
      <c r="C741" s="29">
        <v>1</v>
      </c>
      <c r="D741" s="29">
        <v>1206</v>
      </c>
    </row>
    <row r="742" spans="1:4" x14ac:dyDescent="0.25">
      <c r="A742" s="29">
        <v>217</v>
      </c>
      <c r="B742" t="s">
        <v>261</v>
      </c>
      <c r="C742" s="29">
        <v>1</v>
      </c>
      <c r="D742" s="29">
        <v>1206</v>
      </c>
    </row>
    <row r="743" spans="1:4" x14ac:dyDescent="0.25">
      <c r="A743" s="29">
        <v>773</v>
      </c>
      <c r="B743" t="s">
        <v>817</v>
      </c>
      <c r="C743" s="29">
        <v>1</v>
      </c>
      <c r="D743" s="29">
        <v>1206</v>
      </c>
    </row>
    <row r="744" spans="1:4" x14ac:dyDescent="0.25">
      <c r="A744" s="29">
        <v>7</v>
      </c>
      <c r="B744" t="s">
        <v>47</v>
      </c>
      <c r="C744" s="29">
        <v>6</v>
      </c>
      <c r="D744" s="29">
        <v>1211</v>
      </c>
    </row>
    <row r="745" spans="1:4" x14ac:dyDescent="0.25">
      <c r="A745" s="29">
        <v>293</v>
      </c>
      <c r="B745" t="s">
        <v>337</v>
      </c>
      <c r="C745" s="29">
        <v>3</v>
      </c>
      <c r="D745" s="29">
        <v>1211</v>
      </c>
    </row>
    <row r="746" spans="1:4" x14ac:dyDescent="0.25">
      <c r="A746" s="29">
        <v>663</v>
      </c>
      <c r="B746" t="s">
        <v>707</v>
      </c>
      <c r="C746" s="29">
        <v>1</v>
      </c>
      <c r="D746" s="29">
        <v>1213</v>
      </c>
    </row>
    <row r="747" spans="1:4" x14ac:dyDescent="0.25">
      <c r="A747" s="29">
        <v>886</v>
      </c>
      <c r="B747" t="s">
        <v>930</v>
      </c>
      <c r="C747" s="29">
        <v>1</v>
      </c>
      <c r="D747" s="29">
        <v>1221</v>
      </c>
    </row>
    <row r="748" spans="1:4" x14ac:dyDescent="0.25">
      <c r="A748" s="29">
        <v>1019</v>
      </c>
      <c r="B748" t="s">
        <v>1063</v>
      </c>
      <c r="C748" s="29">
        <v>5</v>
      </c>
      <c r="D748" s="29">
        <v>1223</v>
      </c>
    </row>
    <row r="749" spans="1:4" x14ac:dyDescent="0.25">
      <c r="A749" s="29">
        <v>753</v>
      </c>
      <c r="B749" t="s">
        <v>797</v>
      </c>
      <c r="C749" s="29">
        <v>2</v>
      </c>
      <c r="D749" s="29">
        <v>1224</v>
      </c>
    </row>
    <row r="750" spans="1:4" x14ac:dyDescent="0.25">
      <c r="A750" s="29">
        <v>70</v>
      </c>
      <c r="B750" t="s">
        <v>114</v>
      </c>
      <c r="C750" s="29">
        <v>1</v>
      </c>
      <c r="D750" s="29">
        <v>1226</v>
      </c>
    </row>
    <row r="751" spans="1:4" x14ac:dyDescent="0.25">
      <c r="A751" s="29">
        <v>1162</v>
      </c>
      <c r="B751" t="s">
        <v>1206</v>
      </c>
      <c r="C751" s="29">
        <v>2</v>
      </c>
      <c r="D751" s="29">
        <v>1228</v>
      </c>
    </row>
    <row r="752" spans="1:4" x14ac:dyDescent="0.25">
      <c r="A752" s="29">
        <v>46</v>
      </c>
      <c r="B752" t="s">
        <v>90</v>
      </c>
      <c r="C752" s="29">
        <v>1</v>
      </c>
      <c r="D752" s="29">
        <v>1231</v>
      </c>
    </row>
    <row r="753" spans="1:4" x14ac:dyDescent="0.25">
      <c r="A753" s="29">
        <v>357</v>
      </c>
      <c r="B753" t="s">
        <v>401</v>
      </c>
      <c r="C753" s="29">
        <v>6</v>
      </c>
      <c r="D753" s="29">
        <v>1231</v>
      </c>
    </row>
    <row r="754" spans="1:4" x14ac:dyDescent="0.25">
      <c r="A754" s="29">
        <v>907</v>
      </c>
      <c r="B754" t="s">
        <v>951</v>
      </c>
      <c r="C754" s="29">
        <v>1</v>
      </c>
      <c r="D754" s="29">
        <v>1232</v>
      </c>
    </row>
    <row r="755" spans="1:4" x14ac:dyDescent="0.25">
      <c r="A755" s="29">
        <v>69</v>
      </c>
      <c r="B755" t="s">
        <v>113</v>
      </c>
      <c r="C755" s="29">
        <v>2</v>
      </c>
      <c r="D755" s="29">
        <v>1234</v>
      </c>
    </row>
    <row r="756" spans="1:4" x14ac:dyDescent="0.25">
      <c r="A756" s="29">
        <v>96</v>
      </c>
      <c r="B756" t="s">
        <v>140</v>
      </c>
      <c r="C756" s="29">
        <v>2</v>
      </c>
      <c r="D756" s="29">
        <v>1234</v>
      </c>
    </row>
    <row r="757" spans="1:4" x14ac:dyDescent="0.25">
      <c r="A757" s="29">
        <v>106</v>
      </c>
      <c r="B757" t="s">
        <v>150</v>
      </c>
      <c r="C757" s="29">
        <v>1</v>
      </c>
      <c r="D757" s="29">
        <v>1234</v>
      </c>
    </row>
    <row r="758" spans="1:4" x14ac:dyDescent="0.25">
      <c r="A758" s="29">
        <v>649</v>
      </c>
      <c r="B758" t="s">
        <v>693</v>
      </c>
      <c r="C758" s="29">
        <v>1</v>
      </c>
      <c r="D758" s="29">
        <v>1235</v>
      </c>
    </row>
    <row r="759" spans="1:4" x14ac:dyDescent="0.25">
      <c r="A759" s="29">
        <v>661</v>
      </c>
      <c r="B759" t="s">
        <v>705</v>
      </c>
      <c r="C759" s="29">
        <v>1</v>
      </c>
      <c r="D759" s="29">
        <v>1236</v>
      </c>
    </row>
    <row r="760" spans="1:4" x14ac:dyDescent="0.25">
      <c r="A760" s="29">
        <v>740</v>
      </c>
      <c r="B760" t="s">
        <v>784</v>
      </c>
      <c r="C760" s="29">
        <v>2</v>
      </c>
      <c r="D760" s="29">
        <v>1236</v>
      </c>
    </row>
    <row r="761" spans="1:4" x14ac:dyDescent="0.25">
      <c r="A761" s="29">
        <v>795</v>
      </c>
      <c r="B761" t="s">
        <v>839</v>
      </c>
      <c r="C761" s="29">
        <v>1</v>
      </c>
      <c r="D761" s="29">
        <v>1242</v>
      </c>
    </row>
    <row r="762" spans="1:4" x14ac:dyDescent="0.25">
      <c r="A762" s="29">
        <v>1179</v>
      </c>
      <c r="B762" t="s">
        <v>1223</v>
      </c>
      <c r="C762" s="29">
        <v>1</v>
      </c>
      <c r="D762" s="29">
        <v>1243</v>
      </c>
    </row>
    <row r="763" spans="1:4" x14ac:dyDescent="0.25">
      <c r="A763" s="29">
        <v>376</v>
      </c>
      <c r="B763" t="s">
        <v>420</v>
      </c>
      <c r="C763" s="29">
        <v>3</v>
      </c>
      <c r="D763" s="29">
        <v>1244</v>
      </c>
    </row>
    <row r="764" spans="1:4" x14ac:dyDescent="0.25">
      <c r="A764" s="29">
        <v>670</v>
      </c>
      <c r="B764" t="s">
        <v>714</v>
      </c>
      <c r="C764" s="29">
        <v>4</v>
      </c>
      <c r="D764" s="29">
        <v>1249</v>
      </c>
    </row>
    <row r="765" spans="1:4" x14ac:dyDescent="0.25">
      <c r="A765" s="29">
        <v>1195</v>
      </c>
      <c r="B765" t="s">
        <v>1239</v>
      </c>
      <c r="C765" s="29">
        <v>1</v>
      </c>
      <c r="D765" s="29">
        <v>1249</v>
      </c>
    </row>
    <row r="766" spans="1:4" x14ac:dyDescent="0.25">
      <c r="A766" s="29">
        <v>4</v>
      </c>
      <c r="B766" t="s">
        <v>40</v>
      </c>
      <c r="C766" s="29">
        <v>1</v>
      </c>
      <c r="D766" s="29">
        <v>1255</v>
      </c>
    </row>
    <row r="767" spans="1:4" x14ac:dyDescent="0.25">
      <c r="A767" s="29">
        <v>93</v>
      </c>
      <c r="B767" t="s">
        <v>137</v>
      </c>
      <c r="C767" s="29">
        <v>6</v>
      </c>
      <c r="D767" s="29">
        <v>1255</v>
      </c>
    </row>
    <row r="768" spans="1:4" x14ac:dyDescent="0.25">
      <c r="A768" s="29">
        <v>1182</v>
      </c>
      <c r="B768" t="s">
        <v>1226</v>
      </c>
      <c r="C768" s="29">
        <v>1</v>
      </c>
      <c r="D768" s="29">
        <v>1255</v>
      </c>
    </row>
    <row r="769" spans="1:4" x14ac:dyDescent="0.25">
      <c r="A769" s="29">
        <v>281</v>
      </c>
      <c r="B769" t="s">
        <v>325</v>
      </c>
      <c r="C769" s="29">
        <v>1</v>
      </c>
      <c r="D769" s="29">
        <v>1258</v>
      </c>
    </row>
    <row r="770" spans="1:4" x14ac:dyDescent="0.25">
      <c r="A770" s="29">
        <v>474</v>
      </c>
      <c r="B770" t="s">
        <v>518</v>
      </c>
      <c r="C770" s="29">
        <v>1</v>
      </c>
      <c r="D770" s="29">
        <v>1258</v>
      </c>
    </row>
    <row r="771" spans="1:4" x14ac:dyDescent="0.25">
      <c r="A771" s="29">
        <v>219</v>
      </c>
      <c r="B771" t="s">
        <v>263</v>
      </c>
      <c r="C771" s="29">
        <v>2</v>
      </c>
      <c r="D771" s="29">
        <v>1261</v>
      </c>
    </row>
    <row r="772" spans="1:4" x14ac:dyDescent="0.25">
      <c r="A772" s="29">
        <v>1034</v>
      </c>
      <c r="B772" t="s">
        <v>1078</v>
      </c>
      <c r="C772" s="29">
        <v>4</v>
      </c>
      <c r="D772" s="29">
        <v>1261</v>
      </c>
    </row>
    <row r="773" spans="1:4" x14ac:dyDescent="0.25">
      <c r="A773" s="29">
        <v>594</v>
      </c>
      <c r="B773" t="s">
        <v>638</v>
      </c>
      <c r="C773" s="29">
        <v>1</v>
      </c>
      <c r="D773" s="29">
        <v>1262</v>
      </c>
    </row>
    <row r="774" spans="1:4" x14ac:dyDescent="0.25">
      <c r="A774" s="29">
        <v>94</v>
      </c>
      <c r="B774" t="s">
        <v>138</v>
      </c>
      <c r="C774" s="29">
        <v>1</v>
      </c>
      <c r="D774" s="29">
        <v>1263</v>
      </c>
    </row>
    <row r="775" spans="1:4" x14ac:dyDescent="0.25">
      <c r="A775" s="29">
        <v>118</v>
      </c>
      <c r="B775" t="s">
        <v>162</v>
      </c>
      <c r="C775" s="29">
        <v>2</v>
      </c>
      <c r="D775" s="29">
        <v>1265</v>
      </c>
    </row>
    <row r="776" spans="1:4" x14ac:dyDescent="0.25">
      <c r="A776" s="29">
        <v>472</v>
      </c>
      <c r="B776" t="s">
        <v>516</v>
      </c>
      <c r="C776" s="29">
        <v>1</v>
      </c>
      <c r="D776" s="29">
        <v>1265</v>
      </c>
    </row>
    <row r="777" spans="1:4" x14ac:dyDescent="0.25">
      <c r="A777" s="29">
        <v>1043</v>
      </c>
      <c r="B777" t="s">
        <v>1087</v>
      </c>
      <c r="C777" s="29">
        <v>1</v>
      </c>
      <c r="D777" s="29">
        <v>1270</v>
      </c>
    </row>
    <row r="778" spans="1:4" x14ac:dyDescent="0.25">
      <c r="A778" s="29">
        <v>407</v>
      </c>
      <c r="B778" t="s">
        <v>451</v>
      </c>
      <c r="C778" s="29">
        <v>1</v>
      </c>
      <c r="D778" s="29">
        <v>1271</v>
      </c>
    </row>
    <row r="779" spans="1:4" x14ac:dyDescent="0.25">
      <c r="A779" s="29">
        <v>48</v>
      </c>
      <c r="B779" t="s">
        <v>92</v>
      </c>
      <c r="C779" s="29">
        <v>6</v>
      </c>
      <c r="D779" s="29">
        <v>1274</v>
      </c>
    </row>
    <row r="780" spans="1:4" x14ac:dyDescent="0.25">
      <c r="A780" s="29">
        <v>178</v>
      </c>
      <c r="B780" t="s">
        <v>222</v>
      </c>
      <c r="C780" s="29">
        <v>1</v>
      </c>
      <c r="D780" s="29">
        <v>1274</v>
      </c>
    </row>
    <row r="781" spans="1:4" x14ac:dyDescent="0.25">
      <c r="A781" s="29">
        <v>1044</v>
      </c>
      <c r="B781" t="s">
        <v>1088</v>
      </c>
      <c r="C781" s="29">
        <v>1</v>
      </c>
      <c r="D781" s="29">
        <v>1274</v>
      </c>
    </row>
    <row r="782" spans="1:4" x14ac:dyDescent="0.25">
      <c r="A782" s="29">
        <v>155</v>
      </c>
      <c r="B782" t="s">
        <v>199</v>
      </c>
      <c r="C782" s="29">
        <v>1</v>
      </c>
      <c r="D782" s="29">
        <v>1277</v>
      </c>
    </row>
    <row r="783" spans="1:4" x14ac:dyDescent="0.25">
      <c r="A783" s="29">
        <v>188</v>
      </c>
      <c r="B783" t="s">
        <v>232</v>
      </c>
      <c r="C783" s="29">
        <v>1</v>
      </c>
      <c r="D783" s="29">
        <v>1277</v>
      </c>
    </row>
    <row r="784" spans="1:4" x14ac:dyDescent="0.25">
      <c r="A784" s="29">
        <v>374</v>
      </c>
      <c r="B784" t="s">
        <v>418</v>
      </c>
      <c r="C784" s="29">
        <v>6</v>
      </c>
      <c r="D784" s="29">
        <v>1278</v>
      </c>
    </row>
    <row r="785" spans="1:4" x14ac:dyDescent="0.25">
      <c r="A785" s="29">
        <v>56</v>
      </c>
      <c r="B785" t="s">
        <v>100</v>
      </c>
      <c r="C785" s="29">
        <v>1</v>
      </c>
      <c r="D785" s="29">
        <v>1281</v>
      </c>
    </row>
    <row r="786" spans="1:4" x14ac:dyDescent="0.25">
      <c r="A786" s="29">
        <v>198</v>
      </c>
      <c r="B786" t="s">
        <v>242</v>
      </c>
      <c r="C786" s="29">
        <v>1</v>
      </c>
      <c r="D786" s="29">
        <v>1281</v>
      </c>
    </row>
    <row r="787" spans="1:4" x14ac:dyDescent="0.25">
      <c r="A787" s="29">
        <v>15</v>
      </c>
      <c r="B787" t="s">
        <v>59</v>
      </c>
      <c r="C787" s="29">
        <v>2</v>
      </c>
      <c r="D787" s="29">
        <v>1284</v>
      </c>
    </row>
    <row r="788" spans="1:4" x14ac:dyDescent="0.25">
      <c r="A788" s="29">
        <v>354</v>
      </c>
      <c r="B788" t="s">
        <v>398</v>
      </c>
      <c r="C788" s="29">
        <v>1</v>
      </c>
      <c r="D788" s="29">
        <v>1284</v>
      </c>
    </row>
    <row r="789" spans="1:4" x14ac:dyDescent="0.25">
      <c r="A789" s="29">
        <v>892</v>
      </c>
      <c r="B789" t="s">
        <v>936</v>
      </c>
      <c r="C789" s="29">
        <v>5</v>
      </c>
      <c r="D789" s="29">
        <v>1287</v>
      </c>
    </row>
    <row r="790" spans="1:4" x14ac:dyDescent="0.25">
      <c r="A790" s="29">
        <v>1110</v>
      </c>
      <c r="B790" t="s">
        <v>1154</v>
      </c>
      <c r="C790" s="29">
        <v>1</v>
      </c>
      <c r="D790" s="29">
        <v>1289</v>
      </c>
    </row>
    <row r="791" spans="1:4" x14ac:dyDescent="0.25">
      <c r="A791" s="29">
        <v>425</v>
      </c>
      <c r="B791" t="s">
        <v>469</v>
      </c>
      <c r="C791" s="29">
        <v>2</v>
      </c>
      <c r="D791" s="29">
        <v>1290</v>
      </c>
    </row>
    <row r="792" spans="1:4" x14ac:dyDescent="0.25">
      <c r="A792" s="29">
        <v>646</v>
      </c>
      <c r="B792" t="s">
        <v>690</v>
      </c>
      <c r="C792" s="29">
        <v>3</v>
      </c>
      <c r="D792" s="29">
        <v>1290</v>
      </c>
    </row>
    <row r="793" spans="1:4" x14ac:dyDescent="0.25">
      <c r="A793" s="29">
        <v>332</v>
      </c>
      <c r="B793" t="s">
        <v>376</v>
      </c>
      <c r="C793" s="29">
        <v>3</v>
      </c>
      <c r="D793" s="29">
        <v>1291</v>
      </c>
    </row>
    <row r="794" spans="1:4" x14ac:dyDescent="0.25">
      <c r="A794" s="29">
        <v>865</v>
      </c>
      <c r="B794" t="s">
        <v>909</v>
      </c>
      <c r="C794" s="29">
        <v>1</v>
      </c>
      <c r="D794" s="29">
        <v>1299</v>
      </c>
    </row>
    <row r="795" spans="1:4" x14ac:dyDescent="0.25">
      <c r="A795" s="29">
        <v>306</v>
      </c>
      <c r="B795" t="s">
        <v>350</v>
      </c>
      <c r="C795" s="29">
        <v>1</v>
      </c>
      <c r="D795" s="29">
        <v>1301</v>
      </c>
    </row>
    <row r="796" spans="1:4" x14ac:dyDescent="0.25">
      <c r="A796" s="29">
        <v>126</v>
      </c>
      <c r="B796" t="s">
        <v>170</v>
      </c>
      <c r="C796" s="29">
        <v>1</v>
      </c>
      <c r="D796" s="29">
        <v>1302</v>
      </c>
    </row>
    <row r="797" spans="1:4" x14ac:dyDescent="0.25">
      <c r="A797" s="29">
        <v>493</v>
      </c>
      <c r="B797" t="s">
        <v>537</v>
      </c>
      <c r="C797" s="29">
        <v>1</v>
      </c>
      <c r="D797" s="29">
        <v>1304</v>
      </c>
    </row>
    <row r="798" spans="1:4" x14ac:dyDescent="0.25">
      <c r="A798" s="29">
        <v>815</v>
      </c>
      <c r="B798" t="s">
        <v>859</v>
      </c>
      <c r="C798" s="29">
        <v>6</v>
      </c>
      <c r="D798" s="29">
        <v>1304</v>
      </c>
    </row>
    <row r="799" spans="1:4" x14ac:dyDescent="0.25">
      <c r="A799" s="29">
        <v>570</v>
      </c>
      <c r="B799" t="s">
        <v>614</v>
      </c>
      <c r="C799" s="29">
        <v>1</v>
      </c>
      <c r="D799" s="29">
        <v>1309</v>
      </c>
    </row>
    <row r="800" spans="1:4" x14ac:dyDescent="0.25">
      <c r="A800" s="29">
        <v>1136</v>
      </c>
      <c r="B800" t="s">
        <v>1180</v>
      </c>
      <c r="C800" s="29">
        <v>6</v>
      </c>
      <c r="D800" s="29">
        <v>1312</v>
      </c>
    </row>
    <row r="801" spans="1:4" x14ac:dyDescent="0.25">
      <c r="A801" s="29">
        <v>51</v>
      </c>
      <c r="B801" t="s">
        <v>95</v>
      </c>
      <c r="C801" s="29">
        <v>2</v>
      </c>
      <c r="D801" s="29">
        <v>1313</v>
      </c>
    </row>
    <row r="802" spans="1:4" x14ac:dyDescent="0.25">
      <c r="A802" s="29">
        <v>512</v>
      </c>
      <c r="B802" t="s">
        <v>556</v>
      </c>
      <c r="C802" s="29">
        <v>1</v>
      </c>
      <c r="D802" s="29">
        <v>1313</v>
      </c>
    </row>
    <row r="803" spans="1:4" x14ac:dyDescent="0.25">
      <c r="A803" s="29">
        <v>204</v>
      </c>
      <c r="B803" t="s">
        <v>248</v>
      </c>
      <c r="C803" s="29">
        <v>2</v>
      </c>
      <c r="D803" s="29">
        <v>1315</v>
      </c>
    </row>
    <row r="804" spans="1:4" x14ac:dyDescent="0.25">
      <c r="A804" s="29">
        <v>937</v>
      </c>
      <c r="B804" t="s">
        <v>981</v>
      </c>
      <c r="C804" s="29">
        <v>1</v>
      </c>
      <c r="D804" s="29">
        <v>1315</v>
      </c>
    </row>
    <row r="805" spans="1:4" x14ac:dyDescent="0.25">
      <c r="A805" s="29">
        <v>546</v>
      </c>
      <c r="B805" t="s">
        <v>590</v>
      </c>
      <c r="C805" s="29">
        <v>3</v>
      </c>
      <c r="D805" s="29">
        <v>1323</v>
      </c>
    </row>
    <row r="806" spans="1:4" x14ac:dyDescent="0.25">
      <c r="A806" s="29">
        <v>843</v>
      </c>
      <c r="B806" t="s">
        <v>887</v>
      </c>
      <c r="C806" s="29">
        <v>1</v>
      </c>
      <c r="D806" s="29">
        <v>1323</v>
      </c>
    </row>
    <row r="807" spans="1:4" x14ac:dyDescent="0.25">
      <c r="A807" s="29">
        <v>356</v>
      </c>
      <c r="B807" t="s">
        <v>400</v>
      </c>
      <c r="C807" s="29">
        <v>1</v>
      </c>
      <c r="D807" s="29">
        <v>1325</v>
      </c>
    </row>
    <row r="808" spans="1:4" x14ac:dyDescent="0.25">
      <c r="A808" s="29">
        <v>638</v>
      </c>
      <c r="B808" t="s">
        <v>682</v>
      </c>
      <c r="C808" s="29">
        <v>1</v>
      </c>
      <c r="D808" s="29">
        <v>1325</v>
      </c>
    </row>
    <row r="809" spans="1:4" x14ac:dyDescent="0.25">
      <c r="A809" s="29">
        <v>484</v>
      </c>
      <c r="B809" t="s">
        <v>528</v>
      </c>
      <c r="C809" s="29">
        <v>1</v>
      </c>
      <c r="D809" s="29">
        <v>1332</v>
      </c>
    </row>
    <row r="810" spans="1:4" x14ac:dyDescent="0.25">
      <c r="A810" s="29">
        <v>244</v>
      </c>
      <c r="B810" t="s">
        <v>288</v>
      </c>
      <c r="C810" s="29">
        <v>2</v>
      </c>
      <c r="D810" s="29">
        <v>1333</v>
      </c>
    </row>
    <row r="811" spans="1:4" x14ac:dyDescent="0.25">
      <c r="A811" s="29">
        <v>143</v>
      </c>
      <c r="B811" t="s">
        <v>187</v>
      </c>
      <c r="C811" s="29">
        <v>1</v>
      </c>
      <c r="D811" s="29">
        <v>1334</v>
      </c>
    </row>
    <row r="812" spans="1:4" x14ac:dyDescent="0.25">
      <c r="A812" s="29">
        <v>1054</v>
      </c>
      <c r="B812" t="s">
        <v>1098</v>
      </c>
      <c r="C812" s="29">
        <v>4</v>
      </c>
      <c r="D812" s="29">
        <v>1336</v>
      </c>
    </row>
    <row r="813" spans="1:4" x14ac:dyDescent="0.25">
      <c r="A813" s="29">
        <v>363</v>
      </c>
      <c r="B813" t="s">
        <v>407</v>
      </c>
      <c r="C813" s="29">
        <v>1</v>
      </c>
      <c r="D813" s="29">
        <v>1339</v>
      </c>
    </row>
    <row r="814" spans="1:4" x14ac:dyDescent="0.25">
      <c r="A814" s="29">
        <v>150</v>
      </c>
      <c r="B814" t="s">
        <v>194</v>
      </c>
      <c r="C814" s="29">
        <v>3</v>
      </c>
      <c r="D814" s="29">
        <v>1341</v>
      </c>
    </row>
    <row r="815" spans="1:4" x14ac:dyDescent="0.25">
      <c r="A815" s="29">
        <v>247</v>
      </c>
      <c r="B815" t="s">
        <v>291</v>
      </c>
      <c r="C815" s="29">
        <v>1</v>
      </c>
      <c r="D815" s="29">
        <v>1341</v>
      </c>
    </row>
    <row r="816" spans="1:4" x14ac:dyDescent="0.25">
      <c r="A816" s="29">
        <v>323</v>
      </c>
      <c r="B816" t="s">
        <v>367</v>
      </c>
      <c r="C816" s="29">
        <v>4</v>
      </c>
      <c r="D816" s="29">
        <v>1341</v>
      </c>
    </row>
    <row r="817" spans="1:4" x14ac:dyDescent="0.25">
      <c r="A817" s="29">
        <v>526</v>
      </c>
      <c r="B817" t="s">
        <v>570</v>
      </c>
      <c r="C817" s="29">
        <v>1</v>
      </c>
      <c r="D817" s="29">
        <v>1342</v>
      </c>
    </row>
    <row r="818" spans="1:4" x14ac:dyDescent="0.25">
      <c r="A818" s="29">
        <v>1156</v>
      </c>
      <c r="B818" t="s">
        <v>1200</v>
      </c>
      <c r="C818" s="29">
        <v>1</v>
      </c>
      <c r="D818" s="29">
        <v>1349</v>
      </c>
    </row>
    <row r="819" spans="1:4" x14ac:dyDescent="0.25">
      <c r="A819" s="29">
        <v>13</v>
      </c>
      <c r="B819" t="s">
        <v>57</v>
      </c>
      <c r="C819" s="29">
        <v>1</v>
      </c>
      <c r="D819" s="29">
        <v>1351</v>
      </c>
    </row>
    <row r="820" spans="1:4" x14ac:dyDescent="0.25">
      <c r="A820" s="29">
        <v>1146</v>
      </c>
      <c r="B820" t="s">
        <v>1190</v>
      </c>
      <c r="C820" s="29">
        <v>1</v>
      </c>
      <c r="D820" s="29">
        <v>1352</v>
      </c>
    </row>
    <row r="821" spans="1:4" x14ac:dyDescent="0.25">
      <c r="A821" s="29">
        <v>62</v>
      </c>
      <c r="B821" t="s">
        <v>106</v>
      </c>
      <c r="C821" s="29">
        <v>1</v>
      </c>
      <c r="D821" s="29">
        <v>1355</v>
      </c>
    </row>
    <row r="822" spans="1:4" x14ac:dyDescent="0.25">
      <c r="A822" s="29">
        <v>811</v>
      </c>
      <c r="B822" t="s">
        <v>855</v>
      </c>
      <c r="C822" s="29">
        <v>2</v>
      </c>
      <c r="D822" s="29">
        <v>1361</v>
      </c>
    </row>
    <row r="823" spans="1:4" x14ac:dyDescent="0.25">
      <c r="A823" s="29">
        <v>848</v>
      </c>
      <c r="B823" t="s">
        <v>892</v>
      </c>
      <c r="C823" s="29">
        <v>2</v>
      </c>
      <c r="D823" s="29">
        <v>1362</v>
      </c>
    </row>
    <row r="824" spans="1:4" x14ac:dyDescent="0.25">
      <c r="A824" s="29">
        <v>836</v>
      </c>
      <c r="B824" t="s">
        <v>880</v>
      </c>
      <c r="C824" s="29">
        <v>1</v>
      </c>
      <c r="D824" s="29">
        <v>1363</v>
      </c>
    </row>
    <row r="825" spans="1:4" x14ac:dyDescent="0.25">
      <c r="A825" s="29">
        <v>424</v>
      </c>
      <c r="B825" t="s">
        <v>468</v>
      </c>
      <c r="C825" s="29">
        <v>5</v>
      </c>
      <c r="D825" s="29">
        <v>1367</v>
      </c>
    </row>
    <row r="826" spans="1:4" x14ac:dyDescent="0.25">
      <c r="A826" s="29">
        <v>1154</v>
      </c>
      <c r="B826" t="s">
        <v>1198</v>
      </c>
      <c r="C826" s="29">
        <v>2</v>
      </c>
      <c r="D826" s="29">
        <v>1368</v>
      </c>
    </row>
    <row r="827" spans="1:4" x14ac:dyDescent="0.25">
      <c r="A827" s="29">
        <v>597</v>
      </c>
      <c r="B827" t="s">
        <v>641</v>
      </c>
      <c r="C827" s="29">
        <v>2</v>
      </c>
      <c r="D827" s="29">
        <v>1375</v>
      </c>
    </row>
    <row r="828" spans="1:4" x14ac:dyDescent="0.25">
      <c r="A828" s="29">
        <v>276</v>
      </c>
      <c r="B828" t="s">
        <v>320</v>
      </c>
      <c r="C828" s="29">
        <v>4</v>
      </c>
      <c r="D828" s="29">
        <v>1377</v>
      </c>
    </row>
    <row r="829" spans="1:4" x14ac:dyDescent="0.25">
      <c r="A829" s="29">
        <v>352</v>
      </c>
      <c r="B829" t="s">
        <v>396</v>
      </c>
      <c r="C829" s="29">
        <v>1</v>
      </c>
      <c r="D829" s="29">
        <v>1377</v>
      </c>
    </row>
    <row r="830" spans="1:4" x14ac:dyDescent="0.25">
      <c r="A830" s="29">
        <v>140</v>
      </c>
      <c r="B830" t="s">
        <v>184</v>
      </c>
      <c r="C830" s="29">
        <v>1</v>
      </c>
      <c r="D830" s="29">
        <v>1378</v>
      </c>
    </row>
    <row r="831" spans="1:4" x14ac:dyDescent="0.25">
      <c r="A831" s="29">
        <v>324</v>
      </c>
      <c r="B831" t="s">
        <v>368</v>
      </c>
      <c r="C831" s="29">
        <v>1</v>
      </c>
      <c r="D831" s="29">
        <v>1378</v>
      </c>
    </row>
    <row r="832" spans="1:4" x14ac:dyDescent="0.25">
      <c r="A832" s="29">
        <v>20</v>
      </c>
      <c r="B832" t="s">
        <v>64</v>
      </c>
      <c r="C832" s="29">
        <v>1</v>
      </c>
      <c r="D832" s="29">
        <v>1379</v>
      </c>
    </row>
    <row r="833" spans="1:4" x14ac:dyDescent="0.25">
      <c r="A833" s="29">
        <v>211</v>
      </c>
      <c r="B833" t="s">
        <v>255</v>
      </c>
      <c r="C833" s="29">
        <v>2</v>
      </c>
      <c r="D833" s="29">
        <v>1380</v>
      </c>
    </row>
    <row r="834" spans="1:4" x14ac:dyDescent="0.25">
      <c r="A834" s="29">
        <v>928</v>
      </c>
      <c r="B834" t="s">
        <v>972</v>
      </c>
      <c r="C834" s="29">
        <v>1</v>
      </c>
      <c r="D834" s="29">
        <v>1380</v>
      </c>
    </row>
    <row r="835" spans="1:4" x14ac:dyDescent="0.25">
      <c r="A835" s="29">
        <v>934</v>
      </c>
      <c r="B835" t="s">
        <v>978</v>
      </c>
      <c r="C835" s="29">
        <v>1</v>
      </c>
      <c r="D835" s="29">
        <v>1380</v>
      </c>
    </row>
    <row r="836" spans="1:4" x14ac:dyDescent="0.25">
      <c r="A836" s="29">
        <v>1011</v>
      </c>
      <c r="B836" t="s">
        <v>1055</v>
      </c>
      <c r="C836" s="29">
        <v>1</v>
      </c>
      <c r="D836" s="29">
        <v>1381</v>
      </c>
    </row>
    <row r="837" spans="1:4" x14ac:dyDescent="0.25">
      <c r="A837" s="29">
        <v>788</v>
      </c>
      <c r="B837" t="s">
        <v>832</v>
      </c>
      <c r="C837" s="29">
        <v>1</v>
      </c>
      <c r="D837" s="29">
        <v>1382</v>
      </c>
    </row>
    <row r="838" spans="1:4" x14ac:dyDescent="0.25">
      <c r="A838" s="29">
        <v>1032</v>
      </c>
      <c r="B838" t="s">
        <v>1076</v>
      </c>
      <c r="C838" s="29">
        <v>1</v>
      </c>
      <c r="D838" s="29">
        <v>1382</v>
      </c>
    </row>
    <row r="839" spans="1:4" x14ac:dyDescent="0.25">
      <c r="A839" s="29">
        <v>873</v>
      </c>
      <c r="B839" t="s">
        <v>917</v>
      </c>
      <c r="C839" s="29">
        <v>1</v>
      </c>
      <c r="D839" s="29">
        <v>1385</v>
      </c>
    </row>
    <row r="840" spans="1:4" x14ac:dyDescent="0.25">
      <c r="A840" s="29">
        <v>1066</v>
      </c>
      <c r="B840" t="s">
        <v>1110</v>
      </c>
      <c r="C840" s="29">
        <v>1</v>
      </c>
      <c r="D840" s="29">
        <v>1388</v>
      </c>
    </row>
    <row r="841" spans="1:4" x14ac:dyDescent="0.25">
      <c r="A841" s="29">
        <v>731</v>
      </c>
      <c r="B841" t="s">
        <v>775</v>
      </c>
      <c r="C841" s="29">
        <v>5</v>
      </c>
      <c r="D841" s="29">
        <v>1391</v>
      </c>
    </row>
    <row r="842" spans="1:4" x14ac:dyDescent="0.25">
      <c r="A842" s="29">
        <v>277</v>
      </c>
      <c r="B842" t="s">
        <v>321</v>
      </c>
      <c r="C842" s="29">
        <v>1</v>
      </c>
      <c r="D842" s="29">
        <v>1393</v>
      </c>
    </row>
    <row r="843" spans="1:4" x14ac:dyDescent="0.25">
      <c r="A843" s="29">
        <v>243</v>
      </c>
      <c r="B843" t="s">
        <v>287</v>
      </c>
      <c r="C843" s="29">
        <v>1</v>
      </c>
      <c r="D843" s="29">
        <v>1394</v>
      </c>
    </row>
    <row r="844" spans="1:4" x14ac:dyDescent="0.25">
      <c r="A844" s="29">
        <v>336</v>
      </c>
      <c r="B844" t="s">
        <v>380</v>
      </c>
      <c r="C844" s="29">
        <v>1</v>
      </c>
      <c r="D844" s="29">
        <v>1394</v>
      </c>
    </row>
    <row r="845" spans="1:4" x14ac:dyDescent="0.25">
      <c r="A845" s="29">
        <v>441</v>
      </c>
      <c r="B845" t="s">
        <v>485</v>
      </c>
      <c r="C845" s="29">
        <v>1</v>
      </c>
      <c r="D845" s="29">
        <v>1398</v>
      </c>
    </row>
    <row r="846" spans="1:4" x14ac:dyDescent="0.25">
      <c r="A846" s="29">
        <v>666</v>
      </c>
      <c r="B846" t="s">
        <v>710</v>
      </c>
      <c r="C846" s="29">
        <v>1</v>
      </c>
      <c r="D846" s="29">
        <v>1398</v>
      </c>
    </row>
    <row r="847" spans="1:4" x14ac:dyDescent="0.25">
      <c r="A847" s="29">
        <v>748</v>
      </c>
      <c r="B847" t="s">
        <v>792</v>
      </c>
      <c r="C847" s="29">
        <v>2</v>
      </c>
      <c r="D847" s="29">
        <v>1399</v>
      </c>
    </row>
    <row r="848" spans="1:4" x14ac:dyDescent="0.25">
      <c r="A848" s="29">
        <v>510</v>
      </c>
      <c r="B848" t="s">
        <v>554</v>
      </c>
      <c r="C848" s="29">
        <v>1</v>
      </c>
      <c r="D848" s="29">
        <v>1402</v>
      </c>
    </row>
    <row r="849" spans="1:4" x14ac:dyDescent="0.25">
      <c r="A849" s="29">
        <v>300</v>
      </c>
      <c r="B849" t="s">
        <v>344</v>
      </c>
      <c r="C849" s="29">
        <v>1</v>
      </c>
      <c r="D849" s="29">
        <v>1407</v>
      </c>
    </row>
    <row r="850" spans="1:4" x14ac:dyDescent="0.25">
      <c r="A850" s="29">
        <v>481</v>
      </c>
      <c r="B850" t="s">
        <v>525</v>
      </c>
      <c r="C850" s="29">
        <v>1</v>
      </c>
      <c r="D850" s="29">
        <v>1407</v>
      </c>
    </row>
    <row r="851" spans="1:4" x14ac:dyDescent="0.25">
      <c r="A851" s="29">
        <v>989</v>
      </c>
      <c r="B851" t="s">
        <v>1033</v>
      </c>
      <c r="C851" s="29">
        <v>1</v>
      </c>
      <c r="D851" s="29">
        <v>1409</v>
      </c>
    </row>
    <row r="852" spans="1:4" x14ac:dyDescent="0.25">
      <c r="A852" s="29">
        <v>463</v>
      </c>
      <c r="B852" t="s">
        <v>507</v>
      </c>
      <c r="C852" s="29">
        <v>1</v>
      </c>
      <c r="D852" s="29">
        <v>1416</v>
      </c>
    </row>
    <row r="853" spans="1:4" x14ac:dyDescent="0.25">
      <c r="A853" s="29">
        <v>750</v>
      </c>
      <c r="B853" t="s">
        <v>794</v>
      </c>
      <c r="C853" s="29">
        <v>3</v>
      </c>
      <c r="D853" s="29">
        <v>1417</v>
      </c>
    </row>
    <row r="854" spans="1:4" x14ac:dyDescent="0.25">
      <c r="A854" s="29">
        <v>974</v>
      </c>
      <c r="B854" t="s">
        <v>1018</v>
      </c>
      <c r="C854" s="29">
        <v>1</v>
      </c>
      <c r="D854" s="29">
        <v>1419</v>
      </c>
    </row>
    <row r="855" spans="1:4" x14ac:dyDescent="0.25">
      <c r="A855" s="29">
        <v>489</v>
      </c>
      <c r="B855" t="s">
        <v>533</v>
      </c>
      <c r="C855" s="29">
        <v>5</v>
      </c>
      <c r="D855" s="29">
        <v>1420</v>
      </c>
    </row>
    <row r="856" spans="1:4" x14ac:dyDescent="0.25">
      <c r="A856" s="29">
        <v>180</v>
      </c>
      <c r="B856" t="s">
        <v>224</v>
      </c>
      <c r="C856" s="29">
        <v>1</v>
      </c>
      <c r="D856" s="29">
        <v>1421</v>
      </c>
    </row>
    <row r="857" spans="1:4" x14ac:dyDescent="0.25">
      <c r="A857" s="29">
        <v>454</v>
      </c>
      <c r="B857" t="s">
        <v>498</v>
      </c>
      <c r="C857" s="29">
        <v>1</v>
      </c>
      <c r="D857" s="29">
        <v>1421</v>
      </c>
    </row>
    <row r="858" spans="1:4" x14ac:dyDescent="0.25">
      <c r="A858" s="29">
        <v>712</v>
      </c>
      <c r="B858" t="s">
        <v>756</v>
      </c>
      <c r="C858" s="29">
        <v>5</v>
      </c>
      <c r="D858" s="29">
        <v>1421</v>
      </c>
    </row>
    <row r="859" spans="1:4" x14ac:dyDescent="0.25">
      <c r="A859" s="29">
        <v>1178</v>
      </c>
      <c r="B859" t="s">
        <v>1222</v>
      </c>
      <c r="C859" s="29">
        <v>1</v>
      </c>
      <c r="D859" s="29">
        <v>1421</v>
      </c>
    </row>
    <row r="860" spans="1:4" x14ac:dyDescent="0.25">
      <c r="A860" s="29">
        <v>1188</v>
      </c>
      <c r="B860" t="s">
        <v>1232</v>
      </c>
      <c r="C860" s="29">
        <v>1</v>
      </c>
      <c r="D860" s="29">
        <v>1421</v>
      </c>
    </row>
    <row r="861" spans="1:4" x14ac:dyDescent="0.25">
      <c r="A861" s="29">
        <v>97</v>
      </c>
      <c r="B861" t="s">
        <v>141</v>
      </c>
      <c r="C861" s="29">
        <v>4</v>
      </c>
      <c r="D861" s="29">
        <v>1422</v>
      </c>
    </row>
    <row r="862" spans="1:4" x14ac:dyDescent="0.25">
      <c r="A862" s="29">
        <v>201</v>
      </c>
      <c r="B862" t="s">
        <v>245</v>
      </c>
      <c r="C862" s="29">
        <v>1</v>
      </c>
      <c r="D862" s="29">
        <v>1422</v>
      </c>
    </row>
    <row r="863" spans="1:4" x14ac:dyDescent="0.25">
      <c r="A863" s="29">
        <v>821</v>
      </c>
      <c r="B863" t="s">
        <v>865</v>
      </c>
      <c r="C863" s="29">
        <v>1</v>
      </c>
      <c r="D863" s="29">
        <v>1424</v>
      </c>
    </row>
    <row r="864" spans="1:4" x14ac:dyDescent="0.25">
      <c r="A864" s="29">
        <v>733</v>
      </c>
      <c r="B864" t="s">
        <v>777</v>
      </c>
      <c r="C864" s="29">
        <v>1</v>
      </c>
      <c r="D864" s="29">
        <v>1431</v>
      </c>
    </row>
    <row r="865" spans="1:4" x14ac:dyDescent="0.25">
      <c r="A865" s="29">
        <v>1058</v>
      </c>
      <c r="B865" t="s">
        <v>1102</v>
      </c>
      <c r="C865" s="29">
        <v>1</v>
      </c>
      <c r="D865" s="29">
        <v>1432</v>
      </c>
    </row>
    <row r="866" spans="1:4" x14ac:dyDescent="0.25">
      <c r="A866" s="29">
        <v>1193</v>
      </c>
      <c r="B866" t="s">
        <v>1237</v>
      </c>
      <c r="C866" s="29">
        <v>1</v>
      </c>
      <c r="D866" s="29">
        <v>1433</v>
      </c>
    </row>
    <row r="867" spans="1:4" x14ac:dyDescent="0.25">
      <c r="A867" s="29">
        <v>412</v>
      </c>
      <c r="B867" t="s">
        <v>456</v>
      </c>
      <c r="C867" s="29">
        <v>1</v>
      </c>
      <c r="D867" s="29">
        <v>1434</v>
      </c>
    </row>
    <row r="868" spans="1:4" x14ac:dyDescent="0.25">
      <c r="A868" s="29">
        <v>444</v>
      </c>
      <c r="B868" t="s">
        <v>488</v>
      </c>
      <c r="C868" s="29">
        <v>1</v>
      </c>
      <c r="D868" s="29">
        <v>1434</v>
      </c>
    </row>
    <row r="869" spans="1:4" x14ac:dyDescent="0.25">
      <c r="A869" s="29">
        <v>889</v>
      </c>
      <c r="B869" t="s">
        <v>933</v>
      </c>
      <c r="C869" s="29">
        <v>1</v>
      </c>
      <c r="D869" s="29">
        <v>1434</v>
      </c>
    </row>
    <row r="870" spans="1:4" x14ac:dyDescent="0.25">
      <c r="A870" s="29">
        <v>214</v>
      </c>
      <c r="B870" t="s">
        <v>258</v>
      </c>
      <c r="C870" s="29">
        <v>2</v>
      </c>
      <c r="D870" s="29">
        <v>1435</v>
      </c>
    </row>
    <row r="871" spans="1:4" x14ac:dyDescent="0.25">
      <c r="A871" s="29">
        <v>309</v>
      </c>
      <c r="B871" t="s">
        <v>353</v>
      </c>
      <c r="C871" s="29">
        <v>1</v>
      </c>
      <c r="D871" s="29">
        <v>1437</v>
      </c>
    </row>
    <row r="872" spans="1:4" x14ac:dyDescent="0.25">
      <c r="A872" s="29">
        <v>1055</v>
      </c>
      <c r="B872" t="s">
        <v>1099</v>
      </c>
      <c r="C872" s="29">
        <v>1</v>
      </c>
      <c r="D872" s="29">
        <v>1437</v>
      </c>
    </row>
    <row r="873" spans="1:4" x14ac:dyDescent="0.25">
      <c r="A873" s="29">
        <v>232</v>
      </c>
      <c r="B873" t="s">
        <v>276</v>
      </c>
      <c r="C873" s="29">
        <v>1</v>
      </c>
      <c r="D873" s="29">
        <v>1438</v>
      </c>
    </row>
    <row r="874" spans="1:4" x14ac:dyDescent="0.25">
      <c r="A874" s="29">
        <v>123</v>
      </c>
      <c r="B874" t="s">
        <v>167</v>
      </c>
      <c r="C874" s="29">
        <v>1</v>
      </c>
      <c r="D874" s="29">
        <v>1439</v>
      </c>
    </row>
    <row r="875" spans="1:4" x14ac:dyDescent="0.25">
      <c r="A875" s="29">
        <v>270</v>
      </c>
      <c r="B875" t="s">
        <v>314</v>
      </c>
      <c r="C875" s="29">
        <v>3</v>
      </c>
      <c r="D875" s="29">
        <v>1443</v>
      </c>
    </row>
    <row r="876" spans="1:4" x14ac:dyDescent="0.25">
      <c r="A876" s="29">
        <v>998</v>
      </c>
      <c r="B876" t="s">
        <v>1042</v>
      </c>
      <c r="C876" s="29">
        <v>4</v>
      </c>
      <c r="D876" s="29">
        <v>1443</v>
      </c>
    </row>
    <row r="877" spans="1:4" x14ac:dyDescent="0.25">
      <c r="A877" s="29">
        <v>68</v>
      </c>
      <c r="B877" t="s">
        <v>112</v>
      </c>
      <c r="C877" s="29">
        <v>2</v>
      </c>
      <c r="D877" s="29">
        <v>1444</v>
      </c>
    </row>
    <row r="878" spans="1:4" x14ac:dyDescent="0.25">
      <c r="A878" s="29">
        <v>14</v>
      </c>
      <c r="B878" t="s">
        <v>58</v>
      </c>
      <c r="C878" s="29">
        <v>3</v>
      </c>
      <c r="D878" s="29">
        <v>1447</v>
      </c>
    </row>
    <row r="879" spans="1:4" x14ac:dyDescent="0.25">
      <c r="A879" s="29">
        <v>240</v>
      </c>
      <c r="B879" t="s">
        <v>284</v>
      </c>
      <c r="C879" s="29">
        <v>6</v>
      </c>
      <c r="D879" s="29">
        <v>1453</v>
      </c>
    </row>
    <row r="880" spans="1:4" x14ac:dyDescent="0.25">
      <c r="A880" s="29">
        <v>958</v>
      </c>
      <c r="B880" t="s">
        <v>1002</v>
      </c>
      <c r="C880" s="29">
        <v>1</v>
      </c>
      <c r="D880" s="29">
        <v>1454</v>
      </c>
    </row>
    <row r="881" spans="1:4" x14ac:dyDescent="0.25">
      <c r="A881" s="29">
        <v>269</v>
      </c>
      <c r="B881" t="s">
        <v>313</v>
      </c>
      <c r="C881" s="29">
        <v>1</v>
      </c>
      <c r="D881" s="29">
        <v>1462</v>
      </c>
    </row>
    <row r="882" spans="1:4" x14ac:dyDescent="0.25">
      <c r="A882" s="29">
        <v>790</v>
      </c>
      <c r="B882" t="s">
        <v>834</v>
      </c>
      <c r="C882" s="29">
        <v>2</v>
      </c>
      <c r="D882" s="29">
        <v>1462</v>
      </c>
    </row>
    <row r="883" spans="1:4" x14ac:dyDescent="0.25">
      <c r="A883" s="29">
        <v>302</v>
      </c>
      <c r="B883" t="s">
        <v>346</v>
      </c>
      <c r="C883" s="29">
        <v>4</v>
      </c>
      <c r="D883" s="29">
        <v>1463</v>
      </c>
    </row>
    <row r="884" spans="1:4" x14ac:dyDescent="0.25">
      <c r="A884" s="29">
        <v>738</v>
      </c>
      <c r="B884" t="s">
        <v>782</v>
      </c>
      <c r="C884" s="29">
        <v>3</v>
      </c>
      <c r="D884" s="29">
        <v>1469</v>
      </c>
    </row>
    <row r="885" spans="1:4" x14ac:dyDescent="0.25">
      <c r="A885" s="29">
        <v>543</v>
      </c>
      <c r="B885" t="s">
        <v>587</v>
      </c>
      <c r="C885" s="29">
        <v>3</v>
      </c>
      <c r="D885" s="29">
        <v>1473</v>
      </c>
    </row>
    <row r="886" spans="1:4" x14ac:dyDescent="0.25">
      <c r="A886" s="29">
        <v>830</v>
      </c>
      <c r="B886" t="s">
        <v>874</v>
      </c>
      <c r="C886" s="29">
        <v>1</v>
      </c>
      <c r="D886" s="29">
        <v>1473</v>
      </c>
    </row>
    <row r="887" spans="1:4" x14ac:dyDescent="0.25">
      <c r="A887" s="29">
        <v>749</v>
      </c>
      <c r="B887" t="s">
        <v>793</v>
      </c>
      <c r="C887" s="29">
        <v>5</v>
      </c>
      <c r="D887" s="29">
        <v>1474</v>
      </c>
    </row>
    <row r="888" spans="1:4" x14ac:dyDescent="0.25">
      <c r="A888" s="29">
        <v>2</v>
      </c>
      <c r="B888" t="s">
        <v>38</v>
      </c>
      <c r="C888" s="29">
        <v>2</v>
      </c>
      <c r="D888" s="29">
        <v>1475</v>
      </c>
    </row>
    <row r="889" spans="1:4" x14ac:dyDescent="0.25">
      <c r="A889" s="29">
        <v>228</v>
      </c>
      <c r="B889" t="s">
        <v>272</v>
      </c>
      <c r="C889" s="29">
        <v>1</v>
      </c>
      <c r="D889" s="29">
        <v>1476</v>
      </c>
    </row>
    <row r="890" spans="1:4" x14ac:dyDescent="0.25">
      <c r="A890" s="29">
        <v>154</v>
      </c>
      <c r="B890" t="s">
        <v>198</v>
      </c>
      <c r="C890" s="29">
        <v>1</v>
      </c>
      <c r="D890" s="29">
        <v>1477</v>
      </c>
    </row>
    <row r="891" spans="1:4" x14ac:dyDescent="0.25">
      <c r="A891" s="29">
        <v>965</v>
      </c>
      <c r="B891" t="s">
        <v>1009</v>
      </c>
      <c r="C891" s="29">
        <v>1</v>
      </c>
      <c r="D891" s="29">
        <v>1477</v>
      </c>
    </row>
    <row r="892" spans="1:4" x14ac:dyDescent="0.25">
      <c r="A892" s="29">
        <v>488</v>
      </c>
      <c r="B892" t="s">
        <v>532</v>
      </c>
      <c r="C892" s="29">
        <v>1</v>
      </c>
      <c r="D892" s="29">
        <v>1479</v>
      </c>
    </row>
    <row r="893" spans="1:4" x14ac:dyDescent="0.25">
      <c r="A893" s="29">
        <v>382</v>
      </c>
      <c r="B893" t="s">
        <v>426</v>
      </c>
      <c r="C893" s="29">
        <v>1</v>
      </c>
      <c r="D893" s="29">
        <v>1480</v>
      </c>
    </row>
    <row r="894" spans="1:4" x14ac:dyDescent="0.25">
      <c r="A894" s="29">
        <v>609</v>
      </c>
      <c r="B894" t="s">
        <v>653</v>
      </c>
      <c r="C894" s="29">
        <v>1</v>
      </c>
      <c r="D894" s="29">
        <v>1482</v>
      </c>
    </row>
    <row r="895" spans="1:4" x14ac:dyDescent="0.25">
      <c r="A895" s="29">
        <v>1102</v>
      </c>
      <c r="B895" t="s">
        <v>1146</v>
      </c>
      <c r="C895" s="29">
        <v>1</v>
      </c>
      <c r="D895" s="29">
        <v>1482</v>
      </c>
    </row>
    <row r="896" spans="1:4" x14ac:dyDescent="0.25">
      <c r="A896" s="29">
        <v>744</v>
      </c>
      <c r="B896" t="s">
        <v>788</v>
      </c>
      <c r="C896" s="29">
        <v>1</v>
      </c>
      <c r="D896" s="29">
        <v>1484</v>
      </c>
    </row>
    <row r="897" spans="1:4" x14ac:dyDescent="0.25">
      <c r="A897" s="29">
        <v>162</v>
      </c>
      <c r="B897" t="s">
        <v>206</v>
      </c>
      <c r="C897" s="29">
        <v>1</v>
      </c>
      <c r="D897" s="29">
        <v>1486</v>
      </c>
    </row>
    <row r="898" spans="1:4" x14ac:dyDescent="0.25">
      <c r="A898" s="29">
        <v>1169</v>
      </c>
      <c r="B898" t="s">
        <v>1213</v>
      </c>
      <c r="C898" s="29">
        <v>5</v>
      </c>
      <c r="D898" s="29">
        <v>1491</v>
      </c>
    </row>
    <row r="899" spans="1:4" x14ac:dyDescent="0.25">
      <c r="A899" s="29">
        <v>392</v>
      </c>
      <c r="B899" t="s">
        <v>436</v>
      </c>
      <c r="C899" s="29">
        <v>2</v>
      </c>
      <c r="D899" s="29">
        <v>1492</v>
      </c>
    </row>
    <row r="900" spans="1:4" x14ac:dyDescent="0.25">
      <c r="A900" s="29">
        <v>423</v>
      </c>
      <c r="B900" t="s">
        <v>467</v>
      </c>
      <c r="C900" s="29">
        <v>1</v>
      </c>
      <c r="D900" s="29">
        <v>1493</v>
      </c>
    </row>
    <row r="901" spans="1:4" x14ac:dyDescent="0.25">
      <c r="A901" s="29">
        <v>530</v>
      </c>
      <c r="B901" t="s">
        <v>574</v>
      </c>
      <c r="C901" s="29">
        <v>1</v>
      </c>
      <c r="D901" s="29">
        <v>1493</v>
      </c>
    </row>
    <row r="902" spans="1:4" x14ac:dyDescent="0.25">
      <c r="A902" s="29">
        <v>237</v>
      </c>
      <c r="B902" t="s">
        <v>281</v>
      </c>
      <c r="C902" s="29">
        <v>1</v>
      </c>
      <c r="D902" s="29">
        <v>1495</v>
      </c>
    </row>
    <row r="903" spans="1:4" x14ac:dyDescent="0.25">
      <c r="A903" s="29">
        <v>564</v>
      </c>
      <c r="B903" t="s">
        <v>608</v>
      </c>
      <c r="C903" s="29">
        <v>1</v>
      </c>
      <c r="D903" s="29">
        <v>1499</v>
      </c>
    </row>
    <row r="904" spans="1:4" x14ac:dyDescent="0.25">
      <c r="A904" s="29">
        <v>727</v>
      </c>
      <c r="B904" t="s">
        <v>771</v>
      </c>
      <c r="C904" s="29">
        <v>1</v>
      </c>
      <c r="D904" s="29">
        <v>1500</v>
      </c>
    </row>
    <row r="905" spans="1:4" x14ac:dyDescent="0.25">
      <c r="A905" s="29">
        <v>1017</v>
      </c>
      <c r="B905" t="s">
        <v>1061</v>
      </c>
      <c r="C905" s="29">
        <v>1</v>
      </c>
      <c r="D905" s="29">
        <v>1500</v>
      </c>
    </row>
    <row r="906" spans="1:4" x14ac:dyDescent="0.25">
      <c r="A906" s="29">
        <v>1143</v>
      </c>
      <c r="B906" t="s">
        <v>1187</v>
      </c>
      <c r="C906" s="29">
        <v>1</v>
      </c>
      <c r="D906" s="29">
        <v>1500</v>
      </c>
    </row>
    <row r="907" spans="1:4" x14ac:dyDescent="0.25">
      <c r="A907" s="29">
        <v>231</v>
      </c>
      <c r="B907" t="s">
        <v>275</v>
      </c>
      <c r="C907" s="29">
        <v>1</v>
      </c>
      <c r="D907" s="29">
        <v>1501</v>
      </c>
    </row>
    <row r="908" spans="1:4" x14ac:dyDescent="0.25">
      <c r="A908" s="29">
        <v>872</v>
      </c>
      <c r="B908" t="s">
        <v>916</v>
      </c>
      <c r="C908" s="29">
        <v>2</v>
      </c>
      <c r="D908" s="29">
        <v>1501</v>
      </c>
    </row>
    <row r="909" spans="1:4" x14ac:dyDescent="0.25">
      <c r="A909" s="29">
        <v>577</v>
      </c>
      <c r="B909" t="s">
        <v>621</v>
      </c>
      <c r="C909" s="29">
        <v>1</v>
      </c>
      <c r="D909" s="29">
        <v>1502</v>
      </c>
    </row>
    <row r="910" spans="1:4" x14ac:dyDescent="0.25">
      <c r="A910" s="29">
        <v>861</v>
      </c>
      <c r="B910" t="s">
        <v>905</v>
      </c>
      <c r="C910" s="29">
        <v>2</v>
      </c>
      <c r="D910" s="29">
        <v>1507</v>
      </c>
    </row>
    <row r="911" spans="1:4" x14ac:dyDescent="0.25">
      <c r="A911" s="29">
        <v>6</v>
      </c>
      <c r="B911" t="s">
        <v>45</v>
      </c>
      <c r="C911" s="29">
        <v>1</v>
      </c>
      <c r="D911" s="29">
        <v>1509</v>
      </c>
    </row>
    <row r="912" spans="1:4" x14ac:dyDescent="0.25">
      <c r="A912" s="29">
        <v>759</v>
      </c>
      <c r="B912" t="s">
        <v>803</v>
      </c>
      <c r="C912" s="29">
        <v>1</v>
      </c>
      <c r="D912" s="29">
        <v>1510</v>
      </c>
    </row>
    <row r="913" spans="1:4" x14ac:dyDescent="0.25">
      <c r="A913" s="29">
        <v>486</v>
      </c>
      <c r="B913" t="s">
        <v>530</v>
      </c>
      <c r="C913" s="29">
        <v>2</v>
      </c>
      <c r="D913" s="29">
        <v>1511</v>
      </c>
    </row>
    <row r="914" spans="1:4" x14ac:dyDescent="0.25">
      <c r="A914" s="29">
        <v>50</v>
      </c>
      <c r="B914" t="s">
        <v>94</v>
      </c>
      <c r="C914" s="29">
        <v>6</v>
      </c>
      <c r="D914" s="29">
        <v>1516</v>
      </c>
    </row>
    <row r="915" spans="1:4" x14ac:dyDescent="0.25">
      <c r="A915" s="29">
        <v>933</v>
      </c>
      <c r="B915" t="s">
        <v>977</v>
      </c>
      <c r="C915" s="29">
        <v>1</v>
      </c>
      <c r="D915" s="29">
        <v>1516</v>
      </c>
    </row>
    <row r="916" spans="1:4" x14ac:dyDescent="0.25">
      <c r="A916" s="29">
        <v>703</v>
      </c>
      <c r="B916" t="s">
        <v>747</v>
      </c>
      <c r="C916" s="29">
        <v>1</v>
      </c>
      <c r="D916" s="29">
        <v>1518</v>
      </c>
    </row>
    <row r="917" spans="1:4" x14ac:dyDescent="0.25">
      <c r="A917" s="29">
        <v>335</v>
      </c>
      <c r="B917" t="s">
        <v>379</v>
      </c>
      <c r="C917" s="29">
        <v>1</v>
      </c>
      <c r="D917" s="29">
        <v>1519</v>
      </c>
    </row>
    <row r="918" spans="1:4" x14ac:dyDescent="0.25">
      <c r="A918" s="29">
        <v>531</v>
      </c>
      <c r="B918" t="s">
        <v>575</v>
      </c>
      <c r="C918" s="29">
        <v>6</v>
      </c>
      <c r="D918" s="29">
        <v>1519</v>
      </c>
    </row>
    <row r="919" spans="1:4" x14ac:dyDescent="0.25">
      <c r="A919" s="29">
        <v>411</v>
      </c>
      <c r="B919" t="s">
        <v>455</v>
      </c>
      <c r="C919" s="29">
        <v>3</v>
      </c>
      <c r="D919" s="29">
        <v>1528</v>
      </c>
    </row>
    <row r="920" spans="1:4" x14ac:dyDescent="0.25">
      <c r="A920" s="29">
        <v>537</v>
      </c>
      <c r="B920" t="s">
        <v>581</v>
      </c>
      <c r="C920" s="29">
        <v>2</v>
      </c>
      <c r="D920" s="29">
        <v>1530</v>
      </c>
    </row>
    <row r="921" spans="1:4" x14ac:dyDescent="0.25">
      <c r="A921" s="29">
        <v>818</v>
      </c>
      <c r="B921" t="s">
        <v>862</v>
      </c>
      <c r="C921" s="29">
        <v>1</v>
      </c>
      <c r="D921" s="29">
        <v>1534</v>
      </c>
    </row>
    <row r="922" spans="1:4" x14ac:dyDescent="0.25">
      <c r="A922" s="29">
        <v>1001</v>
      </c>
      <c r="B922" t="s">
        <v>1045</v>
      </c>
      <c r="C922" s="29">
        <v>1</v>
      </c>
      <c r="D922" s="29">
        <v>1535</v>
      </c>
    </row>
    <row r="923" spans="1:4" x14ac:dyDescent="0.25">
      <c r="A923" s="29">
        <v>265</v>
      </c>
      <c r="B923" t="s">
        <v>309</v>
      </c>
      <c r="C923" s="29">
        <v>1</v>
      </c>
      <c r="D923" s="29">
        <v>1539</v>
      </c>
    </row>
    <row r="924" spans="1:4" x14ac:dyDescent="0.25">
      <c r="A924" s="29">
        <v>5</v>
      </c>
      <c r="B924" t="s">
        <v>43</v>
      </c>
      <c r="C924" s="29">
        <v>1</v>
      </c>
      <c r="D924" s="29">
        <v>1544</v>
      </c>
    </row>
    <row r="925" spans="1:4" x14ac:dyDescent="0.25">
      <c r="A925" s="29">
        <v>466</v>
      </c>
      <c r="B925" t="s">
        <v>510</v>
      </c>
      <c r="C925" s="29">
        <v>4</v>
      </c>
      <c r="D925" s="29">
        <v>1546</v>
      </c>
    </row>
    <row r="926" spans="1:4" x14ac:dyDescent="0.25">
      <c r="A926" s="29">
        <v>303</v>
      </c>
      <c r="B926" t="s">
        <v>347</v>
      </c>
      <c r="C926" s="29">
        <v>1</v>
      </c>
      <c r="D926" s="29">
        <v>1547</v>
      </c>
    </row>
    <row r="927" spans="1:4" x14ac:dyDescent="0.25">
      <c r="A927" s="29">
        <v>590</v>
      </c>
      <c r="B927" t="s">
        <v>634</v>
      </c>
      <c r="C927" s="29">
        <v>2</v>
      </c>
      <c r="D927" s="29">
        <v>1549</v>
      </c>
    </row>
    <row r="928" spans="1:4" x14ac:dyDescent="0.25">
      <c r="A928" s="29">
        <v>701</v>
      </c>
      <c r="B928" t="s">
        <v>745</v>
      </c>
      <c r="C928" s="29">
        <v>1</v>
      </c>
      <c r="D928" s="29">
        <v>1552</v>
      </c>
    </row>
    <row r="929" spans="1:4" x14ac:dyDescent="0.25">
      <c r="A929" s="29">
        <v>18</v>
      </c>
      <c r="B929" t="s">
        <v>62</v>
      </c>
      <c r="C929" s="29">
        <v>1</v>
      </c>
      <c r="D929" s="29">
        <v>1553</v>
      </c>
    </row>
    <row r="930" spans="1:4" x14ac:dyDescent="0.25">
      <c r="A930" s="29">
        <v>781</v>
      </c>
      <c r="B930" t="s">
        <v>825</v>
      </c>
      <c r="C930" s="29">
        <v>1</v>
      </c>
      <c r="D930" s="29">
        <v>1553</v>
      </c>
    </row>
    <row r="931" spans="1:4" x14ac:dyDescent="0.25">
      <c r="A931" s="29">
        <v>693</v>
      </c>
      <c r="B931" t="s">
        <v>737</v>
      </c>
      <c r="C931" s="29">
        <v>2</v>
      </c>
      <c r="D931" s="29">
        <v>1554</v>
      </c>
    </row>
    <row r="932" spans="1:4" x14ac:dyDescent="0.25">
      <c r="A932" s="29">
        <v>419</v>
      </c>
      <c r="B932" t="s">
        <v>463</v>
      </c>
      <c r="C932" s="29">
        <v>1</v>
      </c>
      <c r="D932" s="29">
        <v>1559</v>
      </c>
    </row>
    <row r="933" spans="1:4" x14ac:dyDescent="0.25">
      <c r="A933" s="29">
        <v>591</v>
      </c>
      <c r="B933" t="s">
        <v>635</v>
      </c>
      <c r="C933" s="29">
        <v>4</v>
      </c>
      <c r="D933" s="29">
        <v>1565</v>
      </c>
    </row>
    <row r="934" spans="1:4" x14ac:dyDescent="0.25">
      <c r="A934" s="29">
        <v>442</v>
      </c>
      <c r="B934" t="s">
        <v>486</v>
      </c>
      <c r="C934" s="29">
        <v>3</v>
      </c>
      <c r="D934" s="29">
        <v>1567</v>
      </c>
    </row>
    <row r="935" spans="1:4" x14ac:dyDescent="0.25">
      <c r="A935" s="29">
        <v>1085</v>
      </c>
      <c r="B935" t="s">
        <v>1129</v>
      </c>
      <c r="C935" s="29">
        <v>1</v>
      </c>
      <c r="D935" s="29">
        <v>1570</v>
      </c>
    </row>
    <row r="936" spans="1:4" x14ac:dyDescent="0.25">
      <c r="A936" s="29">
        <v>311</v>
      </c>
      <c r="B936" t="s">
        <v>355</v>
      </c>
      <c r="C936" s="29">
        <v>1</v>
      </c>
      <c r="D936" s="29">
        <v>1575</v>
      </c>
    </row>
    <row r="937" spans="1:4" x14ac:dyDescent="0.25">
      <c r="A937" s="29">
        <v>1082</v>
      </c>
      <c r="B937" t="s">
        <v>1126</v>
      </c>
      <c r="C937" s="29">
        <v>1</v>
      </c>
      <c r="D937" s="29">
        <v>1578</v>
      </c>
    </row>
    <row r="938" spans="1:4" x14ac:dyDescent="0.25">
      <c r="A938" s="29">
        <v>84</v>
      </c>
      <c r="B938" t="s">
        <v>128</v>
      </c>
      <c r="C938" s="29">
        <v>6</v>
      </c>
      <c r="D938" s="29">
        <v>1580</v>
      </c>
    </row>
    <row r="939" spans="1:4" x14ac:dyDescent="0.25">
      <c r="A939" s="29">
        <v>601</v>
      </c>
      <c r="B939" t="s">
        <v>645</v>
      </c>
      <c r="C939" s="29">
        <v>1</v>
      </c>
      <c r="D939" s="29">
        <v>1583</v>
      </c>
    </row>
    <row r="940" spans="1:4" x14ac:dyDescent="0.25">
      <c r="A940" s="29">
        <v>1196</v>
      </c>
      <c r="B940" t="s">
        <v>1240</v>
      </c>
      <c r="C940" s="29">
        <v>3</v>
      </c>
      <c r="D940" s="29">
        <v>1586</v>
      </c>
    </row>
    <row r="941" spans="1:4" x14ac:dyDescent="0.25">
      <c r="A941" s="29">
        <v>942</v>
      </c>
      <c r="B941" t="s">
        <v>986</v>
      </c>
      <c r="C941" s="29">
        <v>1</v>
      </c>
      <c r="D941" s="29">
        <v>1588</v>
      </c>
    </row>
    <row r="942" spans="1:4" x14ac:dyDescent="0.25">
      <c r="A942" s="29">
        <v>1177</v>
      </c>
      <c r="B942" t="s">
        <v>1221</v>
      </c>
      <c r="C942" s="29">
        <v>1</v>
      </c>
      <c r="D942" s="29">
        <v>1588</v>
      </c>
    </row>
    <row r="943" spans="1:4" x14ac:dyDescent="0.25">
      <c r="A943" s="29">
        <v>170</v>
      </c>
      <c r="B943" t="s">
        <v>214</v>
      </c>
      <c r="C943" s="29">
        <v>1</v>
      </c>
      <c r="D943" s="29">
        <v>1589</v>
      </c>
    </row>
    <row r="944" spans="1:4" x14ac:dyDescent="0.25">
      <c r="A944" s="29">
        <v>378</v>
      </c>
      <c r="B944" t="s">
        <v>422</v>
      </c>
      <c r="C944" s="29">
        <v>1</v>
      </c>
      <c r="D944" s="29">
        <v>1589</v>
      </c>
    </row>
    <row r="945" spans="1:4" x14ac:dyDescent="0.25">
      <c r="A945" s="29">
        <v>129</v>
      </c>
      <c r="B945" t="s">
        <v>173</v>
      </c>
      <c r="C945" s="29">
        <v>1</v>
      </c>
      <c r="D945" s="29">
        <v>1590</v>
      </c>
    </row>
    <row r="946" spans="1:4" x14ac:dyDescent="0.25">
      <c r="A946" s="29">
        <v>31</v>
      </c>
      <c r="B946" t="s">
        <v>75</v>
      </c>
      <c r="C946" s="29">
        <v>4</v>
      </c>
      <c r="D946" s="29">
        <v>1591</v>
      </c>
    </row>
    <row r="947" spans="1:4" x14ac:dyDescent="0.25">
      <c r="A947" s="29">
        <v>75</v>
      </c>
      <c r="B947" t="s">
        <v>119</v>
      </c>
      <c r="C947" s="29">
        <v>1</v>
      </c>
      <c r="D947" s="29">
        <v>1591</v>
      </c>
    </row>
    <row r="948" spans="1:4" x14ac:dyDescent="0.25">
      <c r="A948" s="29">
        <v>1053</v>
      </c>
      <c r="B948" t="s">
        <v>1097</v>
      </c>
      <c r="C948" s="29">
        <v>1</v>
      </c>
      <c r="D948" s="29">
        <v>1591</v>
      </c>
    </row>
    <row r="949" spans="1:4" x14ac:dyDescent="0.25">
      <c r="A949" s="29">
        <v>1101</v>
      </c>
      <c r="B949" t="s">
        <v>1145</v>
      </c>
      <c r="C949" s="29">
        <v>1</v>
      </c>
      <c r="D949" s="29">
        <v>1591</v>
      </c>
    </row>
    <row r="950" spans="1:4" x14ac:dyDescent="0.25">
      <c r="A950" s="29">
        <v>151</v>
      </c>
      <c r="B950" t="s">
        <v>195</v>
      </c>
      <c r="C950" s="29">
        <v>1</v>
      </c>
      <c r="D950" s="29">
        <v>1594</v>
      </c>
    </row>
    <row r="951" spans="1:4" x14ac:dyDescent="0.25">
      <c r="A951" s="29">
        <v>29</v>
      </c>
      <c r="B951" t="s">
        <v>73</v>
      </c>
      <c r="C951" s="29">
        <v>3</v>
      </c>
      <c r="D951" s="29">
        <v>1595</v>
      </c>
    </row>
    <row r="952" spans="1:4" x14ac:dyDescent="0.25">
      <c r="A952" s="29">
        <v>404</v>
      </c>
      <c r="B952" t="s">
        <v>448</v>
      </c>
      <c r="C952" s="29">
        <v>1</v>
      </c>
      <c r="D952" s="29">
        <v>1595</v>
      </c>
    </row>
    <row r="953" spans="1:4" x14ac:dyDescent="0.25">
      <c r="A953" s="29">
        <v>924</v>
      </c>
      <c r="B953" t="s">
        <v>968</v>
      </c>
      <c r="C953" s="29">
        <v>1</v>
      </c>
      <c r="D953" s="29">
        <v>1597</v>
      </c>
    </row>
    <row r="954" spans="1:4" x14ac:dyDescent="0.25">
      <c r="A954" s="29">
        <v>36</v>
      </c>
      <c r="B954" t="s">
        <v>80</v>
      </c>
      <c r="C954" s="29">
        <v>2</v>
      </c>
      <c r="D954" s="29">
        <v>1604</v>
      </c>
    </row>
    <row r="955" spans="1:4" x14ac:dyDescent="0.25">
      <c r="A955" s="29">
        <v>1137</v>
      </c>
      <c r="B955" t="s">
        <v>1181</v>
      </c>
      <c r="C955" s="29">
        <v>1</v>
      </c>
      <c r="D955" s="29">
        <v>1606</v>
      </c>
    </row>
    <row r="956" spans="1:4" x14ac:dyDescent="0.25">
      <c r="A956" s="29">
        <v>1083</v>
      </c>
      <c r="B956" t="s">
        <v>1127</v>
      </c>
      <c r="C956" s="29">
        <v>4</v>
      </c>
      <c r="D956" s="29">
        <v>1608</v>
      </c>
    </row>
    <row r="957" spans="1:4" x14ac:dyDescent="0.25">
      <c r="A957" s="29">
        <v>711</v>
      </c>
      <c r="B957" t="s">
        <v>755</v>
      </c>
      <c r="C957" s="29">
        <v>1</v>
      </c>
      <c r="D957" s="29">
        <v>1610</v>
      </c>
    </row>
    <row r="958" spans="1:4" x14ac:dyDescent="0.25">
      <c r="A958" s="29">
        <v>1118</v>
      </c>
      <c r="B958" t="s">
        <v>1162</v>
      </c>
      <c r="C958" s="29">
        <v>5</v>
      </c>
      <c r="D958" s="29">
        <v>1610</v>
      </c>
    </row>
    <row r="959" spans="1:4" x14ac:dyDescent="0.25">
      <c r="A959" s="29">
        <v>280</v>
      </c>
      <c r="B959" t="s">
        <v>324</v>
      </c>
      <c r="C959" s="29">
        <v>1</v>
      </c>
      <c r="D959" s="29">
        <v>1612</v>
      </c>
    </row>
    <row r="960" spans="1:4" x14ac:dyDescent="0.25">
      <c r="A960" s="29">
        <v>674</v>
      </c>
      <c r="B960" t="s">
        <v>718</v>
      </c>
      <c r="C960" s="29">
        <v>1</v>
      </c>
      <c r="D960" s="29">
        <v>1612</v>
      </c>
    </row>
    <row r="961" spans="1:4" x14ac:dyDescent="0.25">
      <c r="A961" s="29">
        <v>866</v>
      </c>
      <c r="B961" t="s">
        <v>910</v>
      </c>
      <c r="C961" s="29">
        <v>1</v>
      </c>
      <c r="D961" s="29">
        <v>1612</v>
      </c>
    </row>
    <row r="962" spans="1:4" x14ac:dyDescent="0.25">
      <c r="A962" s="29">
        <v>567</v>
      </c>
      <c r="B962" t="s">
        <v>611</v>
      </c>
      <c r="C962" s="29">
        <v>1</v>
      </c>
      <c r="D962" s="29">
        <v>1613</v>
      </c>
    </row>
    <row r="963" spans="1:4" x14ac:dyDescent="0.25">
      <c r="A963" s="29">
        <v>509</v>
      </c>
      <c r="B963" t="s">
        <v>553</v>
      </c>
      <c r="C963" s="29">
        <v>1</v>
      </c>
      <c r="D963" s="29">
        <v>1615</v>
      </c>
    </row>
    <row r="964" spans="1:4" x14ac:dyDescent="0.25">
      <c r="A964" s="29">
        <v>904</v>
      </c>
      <c r="B964" t="s">
        <v>948</v>
      </c>
      <c r="C964" s="29">
        <v>1</v>
      </c>
      <c r="D964" s="29">
        <v>1615</v>
      </c>
    </row>
    <row r="965" spans="1:4" x14ac:dyDescent="0.25">
      <c r="A965" s="29">
        <v>959</v>
      </c>
      <c r="B965" t="s">
        <v>1003</v>
      </c>
      <c r="C965" s="29">
        <v>1</v>
      </c>
      <c r="D965" s="29">
        <v>1615</v>
      </c>
    </row>
    <row r="966" spans="1:4" x14ac:dyDescent="0.25">
      <c r="A966" s="29">
        <v>961</v>
      </c>
      <c r="B966" t="s">
        <v>1005</v>
      </c>
      <c r="C966" s="29">
        <v>5</v>
      </c>
      <c r="D966" s="29">
        <v>1615</v>
      </c>
    </row>
    <row r="967" spans="1:4" x14ac:dyDescent="0.25">
      <c r="A967" s="29">
        <v>137</v>
      </c>
      <c r="B967" t="s">
        <v>181</v>
      </c>
      <c r="C967" s="29">
        <v>3</v>
      </c>
      <c r="D967" s="29">
        <v>1617</v>
      </c>
    </row>
    <row r="968" spans="1:4" x14ac:dyDescent="0.25">
      <c r="A968" s="29">
        <v>497</v>
      </c>
      <c r="B968" t="s">
        <v>541</v>
      </c>
      <c r="C968" s="29">
        <v>5</v>
      </c>
      <c r="D968" s="29">
        <v>1617</v>
      </c>
    </row>
    <row r="969" spans="1:4" x14ac:dyDescent="0.25">
      <c r="A969" s="29">
        <v>931</v>
      </c>
      <c r="B969" t="s">
        <v>975</v>
      </c>
      <c r="C969" s="29">
        <v>1</v>
      </c>
      <c r="D969" s="29">
        <v>1617</v>
      </c>
    </row>
    <row r="970" spans="1:4" x14ac:dyDescent="0.25">
      <c r="A970" s="29">
        <v>976</v>
      </c>
      <c r="B970" t="s">
        <v>1020</v>
      </c>
      <c r="C970" s="29">
        <v>2</v>
      </c>
      <c r="D970" s="29">
        <v>1617</v>
      </c>
    </row>
    <row r="971" spans="1:4" x14ac:dyDescent="0.25">
      <c r="A971" s="29">
        <v>832</v>
      </c>
      <c r="B971" t="s">
        <v>876</v>
      </c>
      <c r="C971" s="29">
        <v>1</v>
      </c>
      <c r="D971" s="29">
        <v>1619</v>
      </c>
    </row>
    <row r="972" spans="1:4" x14ac:dyDescent="0.25">
      <c r="A972" s="29">
        <v>923</v>
      </c>
      <c r="B972" t="s">
        <v>967</v>
      </c>
      <c r="C972" s="29">
        <v>6</v>
      </c>
      <c r="D972" s="29">
        <v>1619</v>
      </c>
    </row>
    <row r="973" spans="1:4" x14ac:dyDescent="0.25">
      <c r="A973" s="29">
        <v>921</v>
      </c>
      <c r="B973" t="s">
        <v>965</v>
      </c>
      <c r="C973" s="29">
        <v>4</v>
      </c>
      <c r="D973" s="29">
        <v>1620</v>
      </c>
    </row>
    <row r="974" spans="1:4" x14ac:dyDescent="0.25">
      <c r="A974" s="29">
        <v>568</v>
      </c>
      <c r="B974" t="s">
        <v>612</v>
      </c>
      <c r="C974" s="29">
        <v>1</v>
      </c>
      <c r="D974" s="29">
        <v>1621</v>
      </c>
    </row>
    <row r="975" spans="1:4" x14ac:dyDescent="0.25">
      <c r="A975" s="29">
        <v>906</v>
      </c>
      <c r="B975" t="s">
        <v>950</v>
      </c>
      <c r="C975" s="29">
        <v>1</v>
      </c>
      <c r="D975" s="29">
        <v>1624</v>
      </c>
    </row>
    <row r="976" spans="1:4" x14ac:dyDescent="0.25">
      <c r="A976" s="29">
        <v>307</v>
      </c>
      <c r="B976" t="s">
        <v>351</v>
      </c>
      <c r="C976" s="29">
        <v>4</v>
      </c>
      <c r="D976" s="29">
        <v>1626</v>
      </c>
    </row>
    <row r="977" spans="1:4" x14ac:dyDescent="0.25">
      <c r="A977" s="29">
        <v>448</v>
      </c>
      <c r="B977" t="s">
        <v>492</v>
      </c>
      <c r="C977" s="29">
        <v>3</v>
      </c>
      <c r="D977" s="29">
        <v>1626</v>
      </c>
    </row>
    <row r="978" spans="1:4" x14ac:dyDescent="0.25">
      <c r="A978" s="29">
        <v>685</v>
      </c>
      <c r="B978" t="s">
        <v>729</v>
      </c>
      <c r="C978" s="29">
        <v>1</v>
      </c>
      <c r="D978" s="29">
        <v>1626</v>
      </c>
    </row>
    <row r="979" spans="1:4" x14ac:dyDescent="0.25">
      <c r="A979" s="29">
        <v>331</v>
      </c>
      <c r="B979" t="s">
        <v>375</v>
      </c>
      <c r="C979" s="29">
        <v>1</v>
      </c>
      <c r="D979" s="29">
        <v>1629</v>
      </c>
    </row>
    <row r="980" spans="1:4" x14ac:dyDescent="0.25">
      <c r="A980" s="29">
        <v>1132</v>
      </c>
      <c r="B980" t="s">
        <v>1176</v>
      </c>
      <c r="C980" s="29">
        <v>2</v>
      </c>
      <c r="D980" s="29">
        <v>1629</v>
      </c>
    </row>
    <row r="981" spans="1:4" x14ac:dyDescent="0.25">
      <c r="A981" s="29">
        <v>1126</v>
      </c>
      <c r="B981" t="s">
        <v>1170</v>
      </c>
      <c r="C981" s="29">
        <v>1</v>
      </c>
      <c r="D981" s="29">
        <v>1630</v>
      </c>
    </row>
    <row r="982" spans="1:4" x14ac:dyDescent="0.25">
      <c r="A982" s="29">
        <v>1176</v>
      </c>
      <c r="B982" t="s">
        <v>1220</v>
      </c>
      <c r="C982" s="29">
        <v>1</v>
      </c>
      <c r="D982" s="29">
        <v>1631</v>
      </c>
    </row>
    <row r="983" spans="1:4" x14ac:dyDescent="0.25">
      <c r="A983" s="29">
        <v>662</v>
      </c>
      <c r="B983" t="s">
        <v>706</v>
      </c>
      <c r="C983" s="29">
        <v>1</v>
      </c>
      <c r="D983" s="29">
        <v>1632</v>
      </c>
    </row>
    <row r="984" spans="1:4" x14ac:dyDescent="0.25">
      <c r="A984" s="29">
        <v>627</v>
      </c>
      <c r="B984" t="s">
        <v>671</v>
      </c>
      <c r="C984" s="29">
        <v>1</v>
      </c>
      <c r="D984" s="29">
        <v>1635</v>
      </c>
    </row>
    <row r="985" spans="1:4" x14ac:dyDescent="0.25">
      <c r="A985" s="29">
        <v>212</v>
      </c>
      <c r="B985" t="s">
        <v>256</v>
      </c>
      <c r="C985" s="29">
        <v>1</v>
      </c>
      <c r="D985" s="29">
        <v>1639</v>
      </c>
    </row>
    <row r="986" spans="1:4" x14ac:dyDescent="0.25">
      <c r="A986" s="29">
        <v>490</v>
      </c>
      <c r="B986" t="s">
        <v>534</v>
      </c>
      <c r="C986" s="29">
        <v>1</v>
      </c>
      <c r="D986" s="29">
        <v>1640</v>
      </c>
    </row>
    <row r="987" spans="1:4" x14ac:dyDescent="0.25">
      <c r="A987" s="29">
        <v>639</v>
      </c>
      <c r="B987" t="s">
        <v>683</v>
      </c>
      <c r="C987" s="29">
        <v>4</v>
      </c>
      <c r="D987" s="29">
        <v>1642</v>
      </c>
    </row>
    <row r="988" spans="1:4" x14ac:dyDescent="0.25">
      <c r="A988" s="29">
        <v>968</v>
      </c>
      <c r="B988" t="s">
        <v>1012</v>
      </c>
      <c r="C988" s="29">
        <v>1</v>
      </c>
      <c r="D988" s="29">
        <v>1642</v>
      </c>
    </row>
    <row r="989" spans="1:4" x14ac:dyDescent="0.25">
      <c r="A989" s="29">
        <v>1144</v>
      </c>
      <c r="B989" t="s">
        <v>1188</v>
      </c>
      <c r="C989" s="29">
        <v>4</v>
      </c>
      <c r="D989" s="29">
        <v>1643</v>
      </c>
    </row>
    <row r="990" spans="1:4" x14ac:dyDescent="0.25">
      <c r="A990" s="29">
        <v>88</v>
      </c>
      <c r="B990" t="s">
        <v>132</v>
      </c>
      <c r="C990" s="29">
        <v>2</v>
      </c>
      <c r="D990" s="29">
        <v>1644</v>
      </c>
    </row>
    <row r="991" spans="1:4" x14ac:dyDescent="0.25">
      <c r="A991" s="29">
        <v>1020</v>
      </c>
      <c r="B991" t="s">
        <v>1064</v>
      </c>
      <c r="C991" s="29">
        <v>1</v>
      </c>
      <c r="D991" s="29">
        <v>1644</v>
      </c>
    </row>
    <row r="992" spans="1:4" x14ac:dyDescent="0.25">
      <c r="A992" s="29">
        <v>482</v>
      </c>
      <c r="B992" t="s">
        <v>526</v>
      </c>
      <c r="C992" s="29">
        <v>1</v>
      </c>
      <c r="D992" s="29">
        <v>1645</v>
      </c>
    </row>
    <row r="993" spans="1:4" x14ac:dyDescent="0.25">
      <c r="A993" s="29">
        <v>501</v>
      </c>
      <c r="B993" t="s">
        <v>545</v>
      </c>
      <c r="C993" s="29">
        <v>1</v>
      </c>
      <c r="D993" s="29">
        <v>1646</v>
      </c>
    </row>
    <row r="994" spans="1:4" x14ac:dyDescent="0.25">
      <c r="A994" s="29">
        <v>772</v>
      </c>
      <c r="B994" t="s">
        <v>816</v>
      </c>
      <c r="C994" s="29">
        <v>6</v>
      </c>
      <c r="D994" s="29">
        <v>1646</v>
      </c>
    </row>
    <row r="995" spans="1:4" x14ac:dyDescent="0.25">
      <c r="A995" s="29">
        <v>443</v>
      </c>
      <c r="B995" t="s">
        <v>487</v>
      </c>
      <c r="C995" s="29">
        <v>5</v>
      </c>
      <c r="D995" s="29">
        <v>1648</v>
      </c>
    </row>
    <row r="996" spans="1:4" x14ac:dyDescent="0.25">
      <c r="A996" s="29">
        <v>449</v>
      </c>
      <c r="B996" t="s">
        <v>493</v>
      </c>
      <c r="C996" s="29">
        <v>1</v>
      </c>
      <c r="D996" s="29">
        <v>1650</v>
      </c>
    </row>
    <row r="997" spans="1:4" x14ac:dyDescent="0.25">
      <c r="A997" s="29">
        <v>511</v>
      </c>
      <c r="B997" t="s">
        <v>555</v>
      </c>
      <c r="C997" s="29">
        <v>6</v>
      </c>
      <c r="D997" s="29">
        <v>1652</v>
      </c>
    </row>
    <row r="998" spans="1:4" x14ac:dyDescent="0.25">
      <c r="A998" s="29">
        <v>566</v>
      </c>
      <c r="B998" t="s">
        <v>610</v>
      </c>
      <c r="C998" s="29">
        <v>1</v>
      </c>
      <c r="D998" s="29">
        <v>1652</v>
      </c>
    </row>
    <row r="999" spans="1:4" x14ac:dyDescent="0.25">
      <c r="A999" s="29">
        <v>192</v>
      </c>
      <c r="B999" t="s">
        <v>236</v>
      </c>
      <c r="C999" s="29">
        <v>1</v>
      </c>
      <c r="D999" s="29">
        <v>1653</v>
      </c>
    </row>
    <row r="1000" spans="1:4" x14ac:dyDescent="0.25">
      <c r="A1000" s="29">
        <v>296</v>
      </c>
      <c r="B1000" t="s">
        <v>340</v>
      </c>
      <c r="C1000" s="29">
        <v>1</v>
      </c>
      <c r="D1000" s="29">
        <v>1656</v>
      </c>
    </row>
    <row r="1001" spans="1:4" x14ac:dyDescent="0.25">
      <c r="A1001" s="29">
        <v>1031</v>
      </c>
      <c r="B1001" t="s">
        <v>1075</v>
      </c>
      <c r="C1001" s="29">
        <v>1</v>
      </c>
      <c r="D1001" s="29">
        <v>1656</v>
      </c>
    </row>
    <row r="1002" spans="1:4" x14ac:dyDescent="0.25">
      <c r="A1002" s="29">
        <v>1089</v>
      </c>
      <c r="B1002" t="s">
        <v>1133</v>
      </c>
      <c r="C1002" s="29">
        <v>1</v>
      </c>
      <c r="D1002" s="29">
        <v>1656</v>
      </c>
    </row>
    <row r="1003" spans="1:4" x14ac:dyDescent="0.25">
      <c r="A1003" s="29">
        <v>893</v>
      </c>
      <c r="B1003" t="s">
        <v>937</v>
      </c>
      <c r="C1003" s="29">
        <v>1</v>
      </c>
      <c r="D1003" s="29">
        <v>1661</v>
      </c>
    </row>
    <row r="1004" spans="1:4" x14ac:dyDescent="0.25">
      <c r="A1004" s="29">
        <v>91</v>
      </c>
      <c r="B1004" t="s">
        <v>135</v>
      </c>
      <c r="C1004" s="29">
        <v>2</v>
      </c>
      <c r="D1004" s="29">
        <v>1669</v>
      </c>
    </row>
    <row r="1005" spans="1:4" x14ac:dyDescent="0.25">
      <c r="A1005" s="29">
        <v>620</v>
      </c>
      <c r="B1005" t="s">
        <v>664</v>
      </c>
      <c r="C1005" s="29">
        <v>1</v>
      </c>
      <c r="D1005" s="29">
        <v>1670</v>
      </c>
    </row>
    <row r="1006" spans="1:4" x14ac:dyDescent="0.25">
      <c r="A1006" s="29">
        <v>283</v>
      </c>
      <c r="B1006" t="s">
        <v>327</v>
      </c>
      <c r="C1006" s="29">
        <v>3</v>
      </c>
      <c r="D1006" s="29">
        <v>1672</v>
      </c>
    </row>
    <row r="1007" spans="1:4" x14ac:dyDescent="0.25">
      <c r="A1007" s="29">
        <v>187</v>
      </c>
      <c r="B1007" t="s">
        <v>231</v>
      </c>
      <c r="C1007" s="29">
        <v>1</v>
      </c>
      <c r="D1007" s="29">
        <v>1673</v>
      </c>
    </row>
    <row r="1008" spans="1:4" x14ac:dyDescent="0.25">
      <c r="A1008" s="29">
        <v>694</v>
      </c>
      <c r="B1008" t="s">
        <v>738</v>
      </c>
      <c r="C1008" s="29">
        <v>1</v>
      </c>
      <c r="D1008" s="29">
        <v>1675</v>
      </c>
    </row>
    <row r="1009" spans="1:4" x14ac:dyDescent="0.25">
      <c r="A1009" s="29">
        <v>739</v>
      </c>
      <c r="B1009" t="s">
        <v>783</v>
      </c>
      <c r="C1009" s="29">
        <v>1</v>
      </c>
      <c r="D1009" s="29">
        <v>1676</v>
      </c>
    </row>
    <row r="1010" spans="1:4" x14ac:dyDescent="0.25">
      <c r="A1010" s="29">
        <v>166</v>
      </c>
      <c r="B1010" t="s">
        <v>210</v>
      </c>
      <c r="C1010" s="29">
        <v>4</v>
      </c>
      <c r="D1010" s="29">
        <v>1679</v>
      </c>
    </row>
    <row r="1011" spans="1:4" x14ac:dyDescent="0.25">
      <c r="A1011" s="29">
        <v>834</v>
      </c>
      <c r="B1011" t="s">
        <v>878</v>
      </c>
      <c r="C1011" s="29">
        <v>1</v>
      </c>
      <c r="D1011" s="29">
        <v>1684</v>
      </c>
    </row>
    <row r="1012" spans="1:4" x14ac:dyDescent="0.25">
      <c r="A1012" s="29">
        <v>266</v>
      </c>
      <c r="B1012" t="s">
        <v>310</v>
      </c>
      <c r="C1012" s="29">
        <v>2</v>
      </c>
      <c r="D1012" s="29">
        <v>1686</v>
      </c>
    </row>
    <row r="1013" spans="1:4" x14ac:dyDescent="0.25">
      <c r="A1013" s="29">
        <v>1029</v>
      </c>
      <c r="B1013" t="s">
        <v>1073</v>
      </c>
      <c r="C1013" s="29">
        <v>1</v>
      </c>
      <c r="D1013" s="29">
        <v>1688</v>
      </c>
    </row>
    <row r="1014" spans="1:4" x14ac:dyDescent="0.25">
      <c r="A1014" s="29">
        <v>930</v>
      </c>
      <c r="B1014" t="s">
        <v>974</v>
      </c>
      <c r="C1014" s="29">
        <v>3</v>
      </c>
      <c r="D1014" s="29">
        <v>1691</v>
      </c>
    </row>
    <row r="1015" spans="1:4" x14ac:dyDescent="0.25">
      <c r="A1015" s="29">
        <v>1153</v>
      </c>
      <c r="B1015" t="s">
        <v>1197</v>
      </c>
      <c r="C1015" s="29">
        <v>1</v>
      </c>
      <c r="D1015" s="29">
        <v>1691</v>
      </c>
    </row>
    <row r="1016" spans="1:4" x14ac:dyDescent="0.25">
      <c r="A1016" s="29">
        <v>502</v>
      </c>
      <c r="B1016" t="s">
        <v>546</v>
      </c>
      <c r="C1016" s="29">
        <v>4</v>
      </c>
      <c r="D1016" s="29">
        <v>1692</v>
      </c>
    </row>
    <row r="1017" spans="1:4" x14ac:dyDescent="0.25">
      <c r="A1017" s="29">
        <v>317</v>
      </c>
      <c r="B1017" t="s">
        <v>361</v>
      </c>
      <c r="C1017" s="29">
        <v>1</v>
      </c>
      <c r="D1017" s="29">
        <v>1694</v>
      </c>
    </row>
    <row r="1018" spans="1:4" x14ac:dyDescent="0.25">
      <c r="A1018" s="29">
        <v>273</v>
      </c>
      <c r="B1018" t="s">
        <v>317</v>
      </c>
      <c r="C1018" s="29">
        <v>1</v>
      </c>
      <c r="D1018" s="29">
        <v>1696</v>
      </c>
    </row>
    <row r="1019" spans="1:4" x14ac:dyDescent="0.25">
      <c r="A1019" s="29">
        <v>607</v>
      </c>
      <c r="B1019" t="s">
        <v>651</v>
      </c>
      <c r="C1019" s="29">
        <v>4</v>
      </c>
      <c r="D1019" s="29">
        <v>1702</v>
      </c>
    </row>
    <row r="1020" spans="1:4" x14ac:dyDescent="0.25">
      <c r="A1020" s="29">
        <v>796</v>
      </c>
      <c r="B1020" t="s">
        <v>840</v>
      </c>
      <c r="C1020" s="29">
        <v>1</v>
      </c>
      <c r="D1020" s="29">
        <v>1702</v>
      </c>
    </row>
    <row r="1021" spans="1:4" x14ac:dyDescent="0.25">
      <c r="A1021" s="29">
        <v>545</v>
      </c>
      <c r="B1021" t="s">
        <v>589</v>
      </c>
      <c r="C1021" s="29">
        <v>2</v>
      </c>
      <c r="D1021" s="29">
        <v>1703</v>
      </c>
    </row>
    <row r="1022" spans="1:4" x14ac:dyDescent="0.25">
      <c r="A1022" s="29">
        <v>413</v>
      </c>
      <c r="B1022" t="s">
        <v>457</v>
      </c>
      <c r="C1022" s="29">
        <v>5</v>
      </c>
      <c r="D1022" s="29">
        <v>1704</v>
      </c>
    </row>
    <row r="1023" spans="1:4" x14ac:dyDescent="0.25">
      <c r="A1023" s="29">
        <v>1135</v>
      </c>
      <c r="B1023" t="s">
        <v>1179</v>
      </c>
      <c r="C1023" s="29">
        <v>1</v>
      </c>
      <c r="D1023" s="29">
        <v>1712</v>
      </c>
    </row>
    <row r="1024" spans="1:4" x14ac:dyDescent="0.25">
      <c r="A1024" s="29">
        <v>328</v>
      </c>
      <c r="B1024" t="s">
        <v>372</v>
      </c>
      <c r="C1024" s="29">
        <v>4</v>
      </c>
      <c r="D1024" s="29">
        <v>1714</v>
      </c>
    </row>
    <row r="1025" spans="1:4" x14ac:dyDescent="0.25">
      <c r="A1025" s="29">
        <v>777</v>
      </c>
      <c r="B1025" t="s">
        <v>821</v>
      </c>
      <c r="C1025" s="29">
        <v>5</v>
      </c>
      <c r="D1025" s="29">
        <v>1716</v>
      </c>
    </row>
    <row r="1026" spans="1:4" x14ac:dyDescent="0.25">
      <c r="A1026" s="29">
        <v>1069</v>
      </c>
      <c r="B1026" t="s">
        <v>1113</v>
      </c>
      <c r="C1026" s="29">
        <v>1</v>
      </c>
      <c r="D1026" s="29">
        <v>1716</v>
      </c>
    </row>
    <row r="1027" spans="1:4" x14ac:dyDescent="0.25">
      <c r="A1027" s="29">
        <v>1094</v>
      </c>
      <c r="B1027" t="s">
        <v>1138</v>
      </c>
      <c r="C1027" s="29">
        <v>1</v>
      </c>
      <c r="D1027" s="29">
        <v>1716</v>
      </c>
    </row>
    <row r="1028" spans="1:4" x14ac:dyDescent="0.25">
      <c r="A1028" s="29">
        <v>177</v>
      </c>
      <c r="B1028" t="s">
        <v>221</v>
      </c>
      <c r="C1028" s="29">
        <v>2</v>
      </c>
      <c r="D1028" s="29">
        <v>1719</v>
      </c>
    </row>
    <row r="1029" spans="1:4" x14ac:dyDescent="0.25">
      <c r="A1029" s="29">
        <v>365</v>
      </c>
      <c r="B1029" t="s">
        <v>409</v>
      </c>
      <c r="C1029" s="29">
        <v>4</v>
      </c>
      <c r="D1029" s="29">
        <v>1723</v>
      </c>
    </row>
    <row r="1030" spans="1:4" x14ac:dyDescent="0.25">
      <c r="A1030" s="29">
        <v>853</v>
      </c>
      <c r="B1030" t="s">
        <v>897</v>
      </c>
      <c r="C1030" s="29">
        <v>1</v>
      </c>
      <c r="D1030" s="29">
        <v>1726</v>
      </c>
    </row>
    <row r="1031" spans="1:4" x14ac:dyDescent="0.25">
      <c r="A1031" s="29">
        <v>396</v>
      </c>
      <c r="B1031" t="s">
        <v>440</v>
      </c>
      <c r="C1031" s="29">
        <v>1</v>
      </c>
      <c r="D1031" s="29">
        <v>1729</v>
      </c>
    </row>
    <row r="1032" spans="1:4" x14ac:dyDescent="0.25">
      <c r="A1032" s="29">
        <v>426</v>
      </c>
      <c r="B1032" t="s">
        <v>470</v>
      </c>
      <c r="C1032" s="29">
        <v>5</v>
      </c>
      <c r="D1032" s="29">
        <v>1730</v>
      </c>
    </row>
    <row r="1033" spans="1:4" x14ac:dyDescent="0.25">
      <c r="A1033" s="29">
        <v>630</v>
      </c>
      <c r="B1033" t="s">
        <v>674</v>
      </c>
      <c r="C1033" s="29">
        <v>1</v>
      </c>
      <c r="D1033" s="29">
        <v>1731</v>
      </c>
    </row>
    <row r="1034" spans="1:4" x14ac:dyDescent="0.25">
      <c r="A1034" s="29">
        <v>800</v>
      </c>
      <c r="B1034" t="s">
        <v>844</v>
      </c>
      <c r="C1034" s="29">
        <v>6</v>
      </c>
      <c r="D1034" s="29">
        <v>1731</v>
      </c>
    </row>
    <row r="1035" spans="1:4" x14ac:dyDescent="0.25">
      <c r="A1035" s="29">
        <v>547</v>
      </c>
      <c r="B1035" t="s">
        <v>591</v>
      </c>
      <c r="C1035" s="29">
        <v>1</v>
      </c>
      <c r="D1035" s="29">
        <v>1732</v>
      </c>
    </row>
    <row r="1036" spans="1:4" x14ac:dyDescent="0.25">
      <c r="A1036" s="29">
        <v>220</v>
      </c>
      <c r="B1036" t="s">
        <v>264</v>
      </c>
      <c r="C1036" s="29">
        <v>3</v>
      </c>
      <c r="D1036" s="29">
        <v>1733</v>
      </c>
    </row>
    <row r="1037" spans="1:4" x14ac:dyDescent="0.25">
      <c r="A1037" s="29">
        <v>549</v>
      </c>
      <c r="B1037" t="s">
        <v>593</v>
      </c>
      <c r="C1037" s="29">
        <v>2</v>
      </c>
      <c r="D1037" s="29">
        <v>1733</v>
      </c>
    </row>
    <row r="1038" spans="1:4" x14ac:dyDescent="0.25">
      <c r="A1038" s="29">
        <v>1057</v>
      </c>
      <c r="B1038" t="s">
        <v>1101</v>
      </c>
      <c r="C1038" s="29">
        <v>1</v>
      </c>
      <c r="D1038" s="29">
        <v>1733</v>
      </c>
    </row>
    <row r="1039" spans="1:4" x14ac:dyDescent="0.25">
      <c r="A1039" s="29">
        <v>954</v>
      </c>
      <c r="B1039" t="s">
        <v>998</v>
      </c>
      <c r="C1039" s="29">
        <v>2</v>
      </c>
      <c r="D1039" s="29">
        <v>1734</v>
      </c>
    </row>
    <row r="1040" spans="1:4" x14ac:dyDescent="0.25">
      <c r="A1040" s="29">
        <v>664</v>
      </c>
      <c r="B1040" t="s">
        <v>708</v>
      </c>
      <c r="C1040" s="29">
        <v>2</v>
      </c>
      <c r="D1040" s="29">
        <v>1736</v>
      </c>
    </row>
    <row r="1041" spans="1:4" x14ac:dyDescent="0.25">
      <c r="A1041" s="29">
        <v>37</v>
      </c>
      <c r="B1041" t="s">
        <v>81</v>
      </c>
      <c r="C1041" s="29">
        <v>1</v>
      </c>
      <c r="D1041" s="29">
        <v>1746</v>
      </c>
    </row>
    <row r="1042" spans="1:4" x14ac:dyDescent="0.25">
      <c r="A1042" s="29">
        <v>782</v>
      </c>
      <c r="B1042" t="s">
        <v>826</v>
      </c>
      <c r="C1042" s="29">
        <v>5</v>
      </c>
      <c r="D1042" s="29">
        <v>1746</v>
      </c>
    </row>
    <row r="1043" spans="1:4" x14ac:dyDescent="0.25">
      <c r="A1043" s="29">
        <v>1015</v>
      </c>
      <c r="B1043" t="s">
        <v>1059</v>
      </c>
      <c r="C1043" s="29">
        <v>2</v>
      </c>
      <c r="D1043" s="29">
        <v>1747</v>
      </c>
    </row>
    <row r="1044" spans="1:4" x14ac:dyDescent="0.25">
      <c r="A1044" s="29">
        <v>1090</v>
      </c>
      <c r="B1044" t="s">
        <v>1134</v>
      </c>
      <c r="C1044" s="29">
        <v>1</v>
      </c>
      <c r="D1044" s="29">
        <v>1748</v>
      </c>
    </row>
    <row r="1045" spans="1:4" x14ac:dyDescent="0.25">
      <c r="A1045" s="29">
        <v>78</v>
      </c>
      <c r="B1045" t="s">
        <v>122</v>
      </c>
      <c r="C1045" s="29">
        <v>1</v>
      </c>
      <c r="D1045" s="29">
        <v>1750</v>
      </c>
    </row>
    <row r="1046" spans="1:4" x14ac:dyDescent="0.25">
      <c r="A1046" s="29">
        <v>291</v>
      </c>
      <c r="B1046" t="s">
        <v>335</v>
      </c>
      <c r="C1046" s="29">
        <v>1</v>
      </c>
      <c r="D1046" s="29">
        <v>1751</v>
      </c>
    </row>
    <row r="1047" spans="1:4" x14ac:dyDescent="0.25">
      <c r="A1047" s="29">
        <v>290</v>
      </c>
      <c r="B1047" t="s">
        <v>334</v>
      </c>
      <c r="C1047" s="29">
        <v>1</v>
      </c>
      <c r="D1047" s="29">
        <v>1752</v>
      </c>
    </row>
    <row r="1048" spans="1:4" x14ac:dyDescent="0.25">
      <c r="A1048" s="29">
        <v>691</v>
      </c>
      <c r="B1048" t="s">
        <v>735</v>
      </c>
      <c r="C1048" s="29">
        <v>5</v>
      </c>
      <c r="D1048" s="29">
        <v>1752</v>
      </c>
    </row>
    <row r="1049" spans="1:4" x14ac:dyDescent="0.25">
      <c r="A1049" s="29">
        <v>1194</v>
      </c>
      <c r="B1049" t="s">
        <v>1238</v>
      </c>
      <c r="C1049" s="29">
        <v>2</v>
      </c>
      <c r="D1049" s="29">
        <v>1755</v>
      </c>
    </row>
    <row r="1050" spans="1:4" x14ac:dyDescent="0.25">
      <c r="A1050" s="29">
        <v>399</v>
      </c>
      <c r="B1050" t="s">
        <v>443</v>
      </c>
      <c r="C1050" s="29">
        <v>4</v>
      </c>
      <c r="D1050" s="29">
        <v>1756</v>
      </c>
    </row>
    <row r="1051" spans="1:4" x14ac:dyDescent="0.25">
      <c r="A1051" s="29">
        <v>986</v>
      </c>
      <c r="B1051" t="s">
        <v>1030</v>
      </c>
      <c r="C1051" s="29">
        <v>2</v>
      </c>
      <c r="D1051" s="29">
        <v>1756</v>
      </c>
    </row>
    <row r="1052" spans="1:4" x14ac:dyDescent="0.25">
      <c r="A1052" s="29">
        <v>536</v>
      </c>
      <c r="B1052" t="s">
        <v>580</v>
      </c>
      <c r="C1052" s="29">
        <v>1</v>
      </c>
      <c r="D1052" s="29">
        <v>1757</v>
      </c>
    </row>
    <row r="1053" spans="1:4" x14ac:dyDescent="0.25">
      <c r="A1053" s="29">
        <v>477</v>
      </c>
      <c r="B1053" t="s">
        <v>521</v>
      </c>
      <c r="C1053" s="29">
        <v>4</v>
      </c>
      <c r="D1053" s="29">
        <v>1760</v>
      </c>
    </row>
    <row r="1054" spans="1:4" x14ac:dyDescent="0.25">
      <c r="A1054" s="29">
        <v>708</v>
      </c>
      <c r="B1054" t="s">
        <v>752</v>
      </c>
      <c r="C1054" s="29">
        <v>1</v>
      </c>
      <c r="D1054" s="29">
        <v>1763</v>
      </c>
    </row>
    <row r="1055" spans="1:4" x14ac:dyDescent="0.25">
      <c r="A1055" s="29">
        <v>540</v>
      </c>
      <c r="B1055" t="s">
        <v>584</v>
      </c>
      <c r="C1055" s="29">
        <v>1</v>
      </c>
      <c r="D1055" s="29">
        <v>1765</v>
      </c>
    </row>
    <row r="1056" spans="1:4" x14ac:dyDescent="0.25">
      <c r="A1056" s="29">
        <v>1151</v>
      </c>
      <c r="B1056" t="s">
        <v>1195</v>
      </c>
      <c r="C1056" s="29">
        <v>4</v>
      </c>
      <c r="D1056" s="29">
        <v>1765</v>
      </c>
    </row>
    <row r="1057" spans="1:4" x14ac:dyDescent="0.25">
      <c r="A1057" s="29">
        <v>368</v>
      </c>
      <c r="B1057" t="s">
        <v>412</v>
      </c>
      <c r="C1057" s="29">
        <v>1</v>
      </c>
      <c r="D1057" s="29">
        <v>1766</v>
      </c>
    </row>
    <row r="1058" spans="1:4" x14ac:dyDescent="0.25">
      <c r="A1058" s="29">
        <v>377</v>
      </c>
      <c r="B1058" t="s">
        <v>421</v>
      </c>
      <c r="C1058" s="29">
        <v>1</v>
      </c>
      <c r="D1058" s="29">
        <v>1768</v>
      </c>
    </row>
    <row r="1059" spans="1:4" x14ac:dyDescent="0.25">
      <c r="A1059" s="29">
        <v>747</v>
      </c>
      <c r="B1059" t="s">
        <v>791</v>
      </c>
      <c r="C1059" s="29">
        <v>2</v>
      </c>
      <c r="D1059" s="29">
        <v>1781</v>
      </c>
    </row>
    <row r="1060" spans="1:4" x14ac:dyDescent="0.25">
      <c r="A1060" s="29">
        <v>1096</v>
      </c>
      <c r="B1060" t="s">
        <v>1140</v>
      </c>
      <c r="C1060" s="29">
        <v>1</v>
      </c>
      <c r="D1060" s="29">
        <v>1781</v>
      </c>
    </row>
    <row r="1061" spans="1:4" x14ac:dyDescent="0.25">
      <c r="A1061" s="29">
        <v>603</v>
      </c>
      <c r="B1061" t="s">
        <v>647</v>
      </c>
      <c r="C1061" s="29">
        <v>1</v>
      </c>
      <c r="D1061" s="29">
        <v>1783</v>
      </c>
    </row>
    <row r="1062" spans="1:4" x14ac:dyDescent="0.25">
      <c r="A1062" s="29">
        <v>766</v>
      </c>
      <c r="B1062" t="s">
        <v>810</v>
      </c>
      <c r="C1062" s="29">
        <v>1</v>
      </c>
      <c r="D1062" s="29">
        <v>1784</v>
      </c>
    </row>
    <row r="1063" spans="1:4" x14ac:dyDescent="0.25">
      <c r="A1063" s="29">
        <v>1042</v>
      </c>
      <c r="B1063" t="s">
        <v>1086</v>
      </c>
      <c r="C1063" s="29">
        <v>1</v>
      </c>
      <c r="D1063" s="29">
        <v>1785</v>
      </c>
    </row>
    <row r="1064" spans="1:4" x14ac:dyDescent="0.25">
      <c r="A1064" s="29">
        <v>1022</v>
      </c>
      <c r="B1064" t="s">
        <v>1066</v>
      </c>
      <c r="C1064" s="29">
        <v>5</v>
      </c>
      <c r="D1064" s="29">
        <v>1789</v>
      </c>
    </row>
    <row r="1065" spans="1:4" x14ac:dyDescent="0.25">
      <c r="A1065" s="29">
        <v>898</v>
      </c>
      <c r="B1065" t="s">
        <v>942</v>
      </c>
      <c r="C1065" s="29">
        <v>3</v>
      </c>
      <c r="D1065" s="29">
        <v>1790</v>
      </c>
    </row>
    <row r="1066" spans="1:4" x14ac:dyDescent="0.25">
      <c r="A1066" s="29">
        <v>826</v>
      </c>
      <c r="B1066" t="s">
        <v>870</v>
      </c>
      <c r="C1066" s="29">
        <v>1</v>
      </c>
      <c r="D1066" s="29">
        <v>1794</v>
      </c>
    </row>
    <row r="1067" spans="1:4" x14ac:dyDescent="0.25">
      <c r="A1067" s="29">
        <v>427</v>
      </c>
      <c r="B1067" t="s">
        <v>471</v>
      </c>
      <c r="C1067" s="29">
        <v>1</v>
      </c>
      <c r="D1067" s="29">
        <v>1795</v>
      </c>
    </row>
    <row r="1068" spans="1:4" x14ac:dyDescent="0.25">
      <c r="A1068" s="29">
        <v>917</v>
      </c>
      <c r="B1068" t="s">
        <v>961</v>
      </c>
      <c r="C1068" s="29">
        <v>4</v>
      </c>
      <c r="D1068" s="29">
        <v>1796</v>
      </c>
    </row>
    <row r="1069" spans="1:4" x14ac:dyDescent="0.25">
      <c r="A1069" s="29">
        <v>261</v>
      </c>
      <c r="B1069" t="s">
        <v>305</v>
      </c>
      <c r="C1069" s="29">
        <v>1</v>
      </c>
      <c r="D1069" s="29">
        <v>1797</v>
      </c>
    </row>
    <row r="1070" spans="1:4" x14ac:dyDescent="0.25">
      <c r="A1070" s="29">
        <v>736</v>
      </c>
      <c r="B1070" t="s">
        <v>780</v>
      </c>
      <c r="C1070" s="29">
        <v>1</v>
      </c>
      <c r="D1070" s="29">
        <v>1797</v>
      </c>
    </row>
    <row r="1071" spans="1:4" x14ac:dyDescent="0.25">
      <c r="A1071" s="29">
        <v>996</v>
      </c>
      <c r="B1071" t="s">
        <v>1040</v>
      </c>
      <c r="C1071" s="29">
        <v>1</v>
      </c>
      <c r="D1071" s="29">
        <v>1797</v>
      </c>
    </row>
    <row r="1072" spans="1:4" x14ac:dyDescent="0.25">
      <c r="A1072" s="29">
        <v>791</v>
      </c>
      <c r="B1072" t="s">
        <v>835</v>
      </c>
      <c r="C1072" s="29">
        <v>1</v>
      </c>
      <c r="D1072" s="29">
        <v>1800</v>
      </c>
    </row>
    <row r="1073" spans="1:4" x14ac:dyDescent="0.25">
      <c r="A1073" s="29">
        <v>625</v>
      </c>
      <c r="B1073" t="s">
        <v>669</v>
      </c>
      <c r="C1073" s="29">
        <v>1</v>
      </c>
      <c r="D1073" s="29">
        <v>1801</v>
      </c>
    </row>
    <row r="1074" spans="1:4" x14ac:dyDescent="0.25">
      <c r="A1074" s="29">
        <v>428</v>
      </c>
      <c r="B1074" t="s">
        <v>472</v>
      </c>
      <c r="C1074" s="29">
        <v>4</v>
      </c>
      <c r="D1074" s="29">
        <v>1805</v>
      </c>
    </row>
    <row r="1075" spans="1:4" x14ac:dyDescent="0.25">
      <c r="A1075" s="29">
        <v>438</v>
      </c>
      <c r="B1075" t="s">
        <v>482</v>
      </c>
      <c r="C1075" s="29">
        <v>1</v>
      </c>
      <c r="D1075" s="29">
        <v>1805</v>
      </c>
    </row>
    <row r="1076" spans="1:4" x14ac:dyDescent="0.25">
      <c r="A1076" s="29">
        <v>789</v>
      </c>
      <c r="B1076" t="s">
        <v>833</v>
      </c>
      <c r="C1076" s="29">
        <v>1</v>
      </c>
      <c r="D1076" s="29">
        <v>1806</v>
      </c>
    </row>
    <row r="1077" spans="1:4" x14ac:dyDescent="0.25">
      <c r="A1077" s="29">
        <v>956</v>
      </c>
      <c r="B1077" t="s">
        <v>1000</v>
      </c>
      <c r="C1077" s="29">
        <v>1</v>
      </c>
      <c r="D1077" s="29">
        <v>1809</v>
      </c>
    </row>
    <row r="1078" spans="1:4" x14ac:dyDescent="0.25">
      <c r="A1078" s="29">
        <v>205</v>
      </c>
      <c r="B1078" t="s">
        <v>249</v>
      </c>
      <c r="C1078" s="29">
        <v>3</v>
      </c>
      <c r="D1078" s="29">
        <v>1811</v>
      </c>
    </row>
    <row r="1079" spans="1:4" x14ac:dyDescent="0.25">
      <c r="A1079" s="29">
        <v>850</v>
      </c>
      <c r="B1079" t="s">
        <v>894</v>
      </c>
      <c r="C1079" s="29">
        <v>2</v>
      </c>
      <c r="D1079" s="29">
        <v>1812</v>
      </c>
    </row>
    <row r="1080" spans="1:4" x14ac:dyDescent="0.25">
      <c r="A1080" s="29">
        <v>430</v>
      </c>
      <c r="B1080" t="s">
        <v>474</v>
      </c>
      <c r="C1080" s="29">
        <v>2</v>
      </c>
      <c r="D1080" s="29">
        <v>1816</v>
      </c>
    </row>
    <row r="1081" spans="1:4" x14ac:dyDescent="0.25">
      <c r="A1081" s="29">
        <v>1119</v>
      </c>
      <c r="B1081" t="s">
        <v>1163</v>
      </c>
      <c r="C1081" s="29">
        <v>5</v>
      </c>
      <c r="D1081" s="29">
        <v>1818</v>
      </c>
    </row>
    <row r="1082" spans="1:4" x14ac:dyDescent="0.25">
      <c r="A1082" s="29">
        <v>105</v>
      </c>
      <c r="B1082" t="s">
        <v>149</v>
      </c>
      <c r="C1082" s="29">
        <v>1</v>
      </c>
      <c r="D1082" s="29">
        <v>1819</v>
      </c>
    </row>
    <row r="1083" spans="1:4" x14ac:dyDescent="0.25">
      <c r="A1083" s="29">
        <v>849</v>
      </c>
      <c r="B1083" t="s">
        <v>893</v>
      </c>
      <c r="C1083" s="29">
        <v>6</v>
      </c>
      <c r="D1083" s="29">
        <v>1820</v>
      </c>
    </row>
    <row r="1084" spans="1:4" x14ac:dyDescent="0.25">
      <c r="A1084" s="29">
        <v>943</v>
      </c>
      <c r="B1084" t="s">
        <v>987</v>
      </c>
      <c r="C1084" s="29">
        <v>1</v>
      </c>
      <c r="D1084" s="29">
        <v>1820</v>
      </c>
    </row>
    <row r="1085" spans="1:4" x14ac:dyDescent="0.25">
      <c r="A1085" s="29">
        <v>949</v>
      </c>
      <c r="B1085" t="s">
        <v>993</v>
      </c>
      <c r="C1085" s="29">
        <v>1</v>
      </c>
      <c r="D1085" s="29">
        <v>1820</v>
      </c>
    </row>
    <row r="1086" spans="1:4" x14ac:dyDescent="0.25">
      <c r="A1086" s="29">
        <v>1047</v>
      </c>
      <c r="B1086" t="s">
        <v>1091</v>
      </c>
      <c r="C1086" s="29">
        <v>2</v>
      </c>
      <c r="D1086" s="29">
        <v>1820</v>
      </c>
    </row>
    <row r="1087" spans="1:4" x14ac:dyDescent="0.25">
      <c r="A1087" s="29">
        <v>318</v>
      </c>
      <c r="B1087" t="s">
        <v>362</v>
      </c>
      <c r="C1087" s="29">
        <v>4</v>
      </c>
      <c r="D1087" s="29">
        <v>1824</v>
      </c>
    </row>
    <row r="1088" spans="1:4" x14ac:dyDescent="0.25">
      <c r="A1088" s="29">
        <v>431</v>
      </c>
      <c r="B1088" t="s">
        <v>475</v>
      </c>
      <c r="C1088" s="29">
        <v>4</v>
      </c>
      <c r="D1088" s="29">
        <v>1828</v>
      </c>
    </row>
    <row r="1089" spans="1:4" x14ac:dyDescent="0.25">
      <c r="A1089" s="29">
        <v>1191</v>
      </c>
      <c r="B1089" t="s">
        <v>1235</v>
      </c>
      <c r="C1089" s="29">
        <v>5</v>
      </c>
      <c r="D1089" s="29">
        <v>1828</v>
      </c>
    </row>
    <row r="1090" spans="1:4" x14ac:dyDescent="0.25">
      <c r="A1090" s="29">
        <v>710</v>
      </c>
      <c r="B1090" t="s">
        <v>754</v>
      </c>
      <c r="C1090" s="29">
        <v>1</v>
      </c>
      <c r="D1090" s="29">
        <v>1830</v>
      </c>
    </row>
    <row r="1091" spans="1:4" x14ac:dyDescent="0.25">
      <c r="A1091" s="29">
        <v>887</v>
      </c>
      <c r="B1091" t="s">
        <v>931</v>
      </c>
      <c r="C1091" s="29">
        <v>1</v>
      </c>
      <c r="D1091" s="29">
        <v>1830</v>
      </c>
    </row>
    <row r="1092" spans="1:4" x14ac:dyDescent="0.25">
      <c r="A1092" s="29">
        <v>842</v>
      </c>
      <c r="B1092" t="s">
        <v>886</v>
      </c>
      <c r="C1092" s="29">
        <v>1</v>
      </c>
      <c r="D1092" s="29">
        <v>1832</v>
      </c>
    </row>
    <row r="1093" spans="1:4" x14ac:dyDescent="0.25">
      <c r="A1093" s="29">
        <v>312</v>
      </c>
      <c r="B1093" t="s">
        <v>356</v>
      </c>
      <c r="C1093" s="29">
        <v>2</v>
      </c>
      <c r="D1093" s="29">
        <v>1833</v>
      </c>
    </row>
    <row r="1094" spans="1:4" x14ac:dyDescent="0.25">
      <c r="A1094" s="29">
        <v>689</v>
      </c>
      <c r="B1094" t="s">
        <v>733</v>
      </c>
      <c r="C1094" s="29">
        <v>2</v>
      </c>
      <c r="D1094" s="29">
        <v>1833</v>
      </c>
    </row>
    <row r="1095" spans="1:4" x14ac:dyDescent="0.25">
      <c r="A1095" s="29">
        <v>80</v>
      </c>
      <c r="B1095" t="s">
        <v>124</v>
      </c>
      <c r="C1095" s="29">
        <v>5</v>
      </c>
      <c r="D1095" s="29">
        <v>1839</v>
      </c>
    </row>
    <row r="1096" spans="1:4" x14ac:dyDescent="0.25">
      <c r="A1096" s="29">
        <v>436</v>
      </c>
      <c r="B1096" t="s">
        <v>480</v>
      </c>
      <c r="C1096" s="29">
        <v>1</v>
      </c>
      <c r="D1096" s="29">
        <v>1842</v>
      </c>
    </row>
    <row r="1097" spans="1:4" x14ac:dyDescent="0.25">
      <c r="A1097" s="29">
        <v>983</v>
      </c>
      <c r="B1097" t="s">
        <v>1027</v>
      </c>
      <c r="C1097" s="29">
        <v>1</v>
      </c>
      <c r="D1097" s="29">
        <v>1843</v>
      </c>
    </row>
    <row r="1098" spans="1:4" x14ac:dyDescent="0.25">
      <c r="A1098" s="29">
        <v>469</v>
      </c>
      <c r="B1098" t="s">
        <v>513</v>
      </c>
      <c r="C1098" s="29">
        <v>3</v>
      </c>
      <c r="D1098" s="29">
        <v>1845</v>
      </c>
    </row>
    <row r="1099" spans="1:4" x14ac:dyDescent="0.25">
      <c r="A1099" s="29">
        <v>107</v>
      </c>
      <c r="B1099" t="s">
        <v>151</v>
      </c>
      <c r="C1099" s="29">
        <v>5</v>
      </c>
      <c r="D1099" s="29">
        <v>1849</v>
      </c>
    </row>
    <row r="1100" spans="1:4" x14ac:dyDescent="0.25">
      <c r="A1100" s="29">
        <v>950</v>
      </c>
      <c r="B1100" t="s">
        <v>994</v>
      </c>
      <c r="C1100" s="29">
        <v>1</v>
      </c>
      <c r="D1100" s="29">
        <v>1849</v>
      </c>
    </row>
    <row r="1101" spans="1:4" x14ac:dyDescent="0.25">
      <c r="A1101" s="29">
        <v>1165</v>
      </c>
      <c r="B1101" t="s">
        <v>1209</v>
      </c>
      <c r="C1101" s="29">
        <v>1</v>
      </c>
      <c r="D1101" s="29">
        <v>1850</v>
      </c>
    </row>
    <row r="1102" spans="1:4" x14ac:dyDescent="0.25">
      <c r="A1102" s="29">
        <v>635</v>
      </c>
      <c r="B1102" t="s">
        <v>679</v>
      </c>
      <c r="C1102" s="29">
        <v>1</v>
      </c>
      <c r="D1102" s="29">
        <v>1851</v>
      </c>
    </row>
    <row r="1103" spans="1:4" x14ac:dyDescent="0.25">
      <c r="A1103" s="29">
        <v>319</v>
      </c>
      <c r="B1103" t="s">
        <v>363</v>
      </c>
      <c r="C1103" s="29">
        <v>1</v>
      </c>
      <c r="D1103" s="29">
        <v>1852</v>
      </c>
    </row>
    <row r="1104" spans="1:4" x14ac:dyDescent="0.25">
      <c r="A1104" s="29">
        <v>370</v>
      </c>
      <c r="B1104" t="s">
        <v>414</v>
      </c>
      <c r="C1104" s="29">
        <v>3</v>
      </c>
      <c r="D1104" s="29">
        <v>1853</v>
      </c>
    </row>
    <row r="1105" spans="1:4" x14ac:dyDescent="0.25">
      <c r="A1105" s="29">
        <v>835</v>
      </c>
      <c r="B1105" t="s">
        <v>879</v>
      </c>
      <c r="C1105" s="29">
        <v>1</v>
      </c>
      <c r="D1105" s="29">
        <v>1855</v>
      </c>
    </row>
    <row r="1106" spans="1:4" x14ac:dyDescent="0.25">
      <c r="A1106" s="29">
        <v>271</v>
      </c>
      <c r="B1106" t="s">
        <v>315</v>
      </c>
      <c r="C1106" s="29">
        <v>1</v>
      </c>
      <c r="D1106" s="29">
        <v>1858</v>
      </c>
    </row>
    <row r="1107" spans="1:4" x14ac:dyDescent="0.25">
      <c r="A1107" s="29">
        <v>779</v>
      </c>
      <c r="B1107" t="s">
        <v>823</v>
      </c>
      <c r="C1107" s="29">
        <v>6</v>
      </c>
      <c r="D1107" s="29">
        <v>1858</v>
      </c>
    </row>
    <row r="1108" spans="1:4" x14ac:dyDescent="0.25">
      <c r="A1108" s="29">
        <v>1098</v>
      </c>
      <c r="B1108" t="s">
        <v>1142</v>
      </c>
      <c r="C1108" s="29">
        <v>1</v>
      </c>
      <c r="D1108" s="29">
        <v>1858</v>
      </c>
    </row>
    <row r="1109" spans="1:4" x14ac:dyDescent="0.25">
      <c r="A1109" s="29">
        <v>593</v>
      </c>
      <c r="B1109" t="s">
        <v>637</v>
      </c>
      <c r="C1109" s="29">
        <v>2</v>
      </c>
      <c r="D1109" s="29">
        <v>1859</v>
      </c>
    </row>
    <row r="1110" spans="1:4" x14ac:dyDescent="0.25">
      <c r="A1110" s="29">
        <v>696</v>
      </c>
      <c r="B1110" t="s">
        <v>740</v>
      </c>
      <c r="C1110" s="29">
        <v>1</v>
      </c>
      <c r="D1110" s="29">
        <v>1860</v>
      </c>
    </row>
    <row r="1111" spans="1:4" x14ac:dyDescent="0.25">
      <c r="A1111" s="29">
        <v>565</v>
      </c>
      <c r="B1111" t="s">
        <v>609</v>
      </c>
      <c r="C1111" s="29">
        <v>1</v>
      </c>
      <c r="D1111" s="29">
        <v>1862</v>
      </c>
    </row>
    <row r="1112" spans="1:4" x14ac:dyDescent="0.25">
      <c r="A1112" s="29">
        <v>588</v>
      </c>
      <c r="B1112" t="s">
        <v>632</v>
      </c>
      <c r="C1112" s="29">
        <v>1</v>
      </c>
      <c r="D1112" s="29">
        <v>1867</v>
      </c>
    </row>
    <row r="1113" spans="1:4" x14ac:dyDescent="0.25">
      <c r="A1113" s="29">
        <v>785</v>
      </c>
      <c r="B1113" t="s">
        <v>829</v>
      </c>
      <c r="C1113" s="29">
        <v>1</v>
      </c>
      <c r="D1113" s="29">
        <v>1868</v>
      </c>
    </row>
    <row r="1114" spans="1:4" x14ac:dyDescent="0.25">
      <c r="A1114" s="29">
        <v>1078</v>
      </c>
      <c r="B1114" t="s">
        <v>1122</v>
      </c>
      <c r="C1114" s="29">
        <v>1</v>
      </c>
      <c r="D1114" s="29">
        <v>1871</v>
      </c>
    </row>
    <row r="1115" spans="1:4" x14ac:dyDescent="0.25">
      <c r="A1115" s="29">
        <v>77</v>
      </c>
      <c r="B1115" t="s">
        <v>121</v>
      </c>
      <c r="C1115" s="29">
        <v>1</v>
      </c>
      <c r="D1115" s="29">
        <v>1872</v>
      </c>
    </row>
    <row r="1116" spans="1:4" x14ac:dyDescent="0.25">
      <c r="A1116" s="29">
        <v>224</v>
      </c>
      <c r="B1116" t="s">
        <v>268</v>
      </c>
      <c r="C1116" s="29">
        <v>1</v>
      </c>
      <c r="D1116" s="29">
        <v>1877</v>
      </c>
    </row>
    <row r="1117" spans="1:4" x14ac:dyDescent="0.25">
      <c r="A1117" s="29">
        <v>885</v>
      </c>
      <c r="B1117" t="s">
        <v>929</v>
      </c>
      <c r="C1117" s="29">
        <v>1</v>
      </c>
      <c r="D1117" s="29">
        <v>1878</v>
      </c>
    </row>
    <row r="1118" spans="1:4" x14ac:dyDescent="0.25">
      <c r="A1118" s="29">
        <v>1131</v>
      </c>
      <c r="B1118" t="s">
        <v>1175</v>
      </c>
      <c r="C1118" s="29">
        <v>1</v>
      </c>
      <c r="D1118" s="29">
        <v>1879</v>
      </c>
    </row>
    <row r="1119" spans="1:4" x14ac:dyDescent="0.25">
      <c r="A1119" s="29">
        <v>385</v>
      </c>
      <c r="B1119" t="s">
        <v>429</v>
      </c>
      <c r="C1119" s="29">
        <v>1</v>
      </c>
      <c r="D1119" s="29">
        <v>1881</v>
      </c>
    </row>
    <row r="1120" spans="1:4" x14ac:dyDescent="0.25">
      <c r="A1120" s="29">
        <v>867</v>
      </c>
      <c r="B1120" t="s">
        <v>911</v>
      </c>
      <c r="C1120" s="29">
        <v>1</v>
      </c>
      <c r="D1120" s="29">
        <v>1881</v>
      </c>
    </row>
    <row r="1121" spans="1:4" x14ac:dyDescent="0.25">
      <c r="A1121" s="29">
        <v>1173</v>
      </c>
      <c r="B1121" t="s">
        <v>1217</v>
      </c>
      <c r="C1121" s="29">
        <v>1</v>
      </c>
      <c r="D1121" s="29">
        <v>1882</v>
      </c>
    </row>
    <row r="1122" spans="1:4" x14ac:dyDescent="0.25">
      <c r="A1122" s="29">
        <v>364</v>
      </c>
      <c r="B1122" t="s">
        <v>408</v>
      </c>
      <c r="C1122" s="29">
        <v>4</v>
      </c>
      <c r="D1122" s="29">
        <v>1884</v>
      </c>
    </row>
    <row r="1123" spans="1:4" x14ac:dyDescent="0.25">
      <c r="A1123" s="29">
        <v>1045</v>
      </c>
      <c r="B1123" t="s">
        <v>1089</v>
      </c>
      <c r="C1123" s="29">
        <v>1</v>
      </c>
      <c r="D1123" s="29">
        <v>1884</v>
      </c>
    </row>
    <row r="1124" spans="1:4" x14ac:dyDescent="0.25">
      <c r="A1124" s="29">
        <v>522</v>
      </c>
      <c r="B1124" t="s">
        <v>566</v>
      </c>
      <c r="C1124" s="29">
        <v>3</v>
      </c>
      <c r="D1124" s="29">
        <v>1888</v>
      </c>
    </row>
    <row r="1125" spans="1:4" x14ac:dyDescent="0.25">
      <c r="A1125" s="29">
        <v>460</v>
      </c>
      <c r="B1125" t="s">
        <v>504</v>
      </c>
      <c r="C1125" s="29">
        <v>1</v>
      </c>
      <c r="D1125" s="29">
        <v>1889</v>
      </c>
    </row>
    <row r="1126" spans="1:4" x14ac:dyDescent="0.25">
      <c r="A1126" s="29">
        <v>771</v>
      </c>
      <c r="B1126" t="s">
        <v>815</v>
      </c>
      <c r="C1126" s="29">
        <v>1</v>
      </c>
      <c r="D1126" s="29">
        <v>1895</v>
      </c>
    </row>
    <row r="1127" spans="1:4" x14ac:dyDescent="0.25">
      <c r="A1127" s="29">
        <v>700</v>
      </c>
      <c r="B1127" t="s">
        <v>744</v>
      </c>
      <c r="C1127" s="29">
        <v>1</v>
      </c>
      <c r="D1127" s="29">
        <v>1896</v>
      </c>
    </row>
    <row r="1128" spans="1:4" x14ac:dyDescent="0.25">
      <c r="A1128" s="29">
        <v>1186</v>
      </c>
      <c r="B1128" t="s">
        <v>1230</v>
      </c>
      <c r="C1128" s="29">
        <v>1</v>
      </c>
      <c r="D1128" s="29">
        <v>1896</v>
      </c>
    </row>
    <row r="1129" spans="1:4" x14ac:dyDescent="0.25">
      <c r="A1129" s="29">
        <v>518</v>
      </c>
      <c r="B1129" t="s">
        <v>562</v>
      </c>
      <c r="C1129" s="29">
        <v>3</v>
      </c>
      <c r="D1129" s="29">
        <v>1899</v>
      </c>
    </row>
    <row r="1130" spans="1:4" x14ac:dyDescent="0.25">
      <c r="A1130" s="29">
        <v>262</v>
      </c>
      <c r="B1130" t="s">
        <v>306</v>
      </c>
      <c r="C1130" s="29">
        <v>1</v>
      </c>
      <c r="D1130" s="29">
        <v>1901</v>
      </c>
    </row>
    <row r="1131" spans="1:4" x14ac:dyDescent="0.25">
      <c r="A1131" s="29">
        <v>899</v>
      </c>
      <c r="B1131" t="s">
        <v>943</v>
      </c>
      <c r="C1131" s="29">
        <v>1</v>
      </c>
      <c r="D1131" s="29">
        <v>1902</v>
      </c>
    </row>
    <row r="1132" spans="1:4" x14ac:dyDescent="0.25">
      <c r="A1132" s="29">
        <v>49</v>
      </c>
      <c r="B1132" t="s">
        <v>93</v>
      </c>
      <c r="C1132" s="29">
        <v>2</v>
      </c>
      <c r="D1132" s="29">
        <v>1905</v>
      </c>
    </row>
    <row r="1133" spans="1:4" x14ac:dyDescent="0.25">
      <c r="A1133" s="29">
        <v>294</v>
      </c>
      <c r="B1133" t="s">
        <v>338</v>
      </c>
      <c r="C1133" s="29">
        <v>1</v>
      </c>
      <c r="D1133" s="29">
        <v>1906</v>
      </c>
    </row>
    <row r="1134" spans="1:4" x14ac:dyDescent="0.25">
      <c r="A1134" s="29">
        <v>553</v>
      </c>
      <c r="B1134" t="s">
        <v>597</v>
      </c>
      <c r="C1134" s="29">
        <v>6</v>
      </c>
      <c r="D1134" s="29">
        <v>1907</v>
      </c>
    </row>
    <row r="1135" spans="1:4" x14ac:dyDescent="0.25">
      <c r="A1135" s="29">
        <v>63</v>
      </c>
      <c r="B1135" t="s">
        <v>107</v>
      </c>
      <c r="C1135" s="29">
        <v>1</v>
      </c>
      <c r="D1135" s="29">
        <v>1908</v>
      </c>
    </row>
    <row r="1136" spans="1:4" x14ac:dyDescent="0.25">
      <c r="A1136" s="29">
        <v>581</v>
      </c>
      <c r="B1136" t="s">
        <v>625</v>
      </c>
      <c r="C1136" s="29">
        <v>2</v>
      </c>
      <c r="D1136" s="29">
        <v>1908</v>
      </c>
    </row>
    <row r="1137" spans="1:4" x14ac:dyDescent="0.25">
      <c r="A1137" s="29">
        <v>967</v>
      </c>
      <c r="B1137" t="s">
        <v>1011</v>
      </c>
      <c r="C1137" s="29">
        <v>1</v>
      </c>
      <c r="D1137" s="29">
        <v>1913</v>
      </c>
    </row>
    <row r="1138" spans="1:4" x14ac:dyDescent="0.25">
      <c r="A1138" s="29">
        <v>1111</v>
      </c>
      <c r="B1138" t="s">
        <v>1155</v>
      </c>
      <c r="C1138" s="29">
        <v>4</v>
      </c>
      <c r="D1138" s="29">
        <v>1914</v>
      </c>
    </row>
    <row r="1139" spans="1:4" x14ac:dyDescent="0.25">
      <c r="A1139" s="29">
        <v>1174</v>
      </c>
      <c r="B1139" t="s">
        <v>1218</v>
      </c>
      <c r="C1139" s="29">
        <v>1</v>
      </c>
      <c r="D1139" s="29">
        <v>1914</v>
      </c>
    </row>
    <row r="1140" spans="1:4" x14ac:dyDescent="0.25">
      <c r="A1140" s="29">
        <v>153</v>
      </c>
      <c r="B1140" t="s">
        <v>197</v>
      </c>
      <c r="C1140" s="29">
        <v>1</v>
      </c>
      <c r="D1140" s="29">
        <v>1917</v>
      </c>
    </row>
    <row r="1141" spans="1:4" x14ac:dyDescent="0.25">
      <c r="A1141" s="29">
        <v>879</v>
      </c>
      <c r="B1141" t="s">
        <v>923</v>
      </c>
      <c r="C1141" s="29">
        <v>3</v>
      </c>
      <c r="D1141" s="29">
        <v>1918</v>
      </c>
    </row>
    <row r="1142" spans="1:4" x14ac:dyDescent="0.25">
      <c r="A1142" s="29">
        <v>692</v>
      </c>
      <c r="B1142" t="s">
        <v>736</v>
      </c>
      <c r="C1142" s="29">
        <v>1</v>
      </c>
      <c r="D1142" s="29">
        <v>1923</v>
      </c>
    </row>
    <row r="1143" spans="1:4" x14ac:dyDescent="0.25">
      <c r="A1143" s="29">
        <v>210</v>
      </c>
      <c r="B1143" t="s">
        <v>254</v>
      </c>
      <c r="C1143" s="29">
        <v>1</v>
      </c>
      <c r="D1143" s="29">
        <v>1926</v>
      </c>
    </row>
    <row r="1144" spans="1:4" x14ac:dyDescent="0.25">
      <c r="A1144" s="29">
        <v>403</v>
      </c>
      <c r="B1144" t="s">
        <v>447</v>
      </c>
      <c r="C1144" s="29">
        <v>1</v>
      </c>
      <c r="D1144" s="29">
        <v>1928</v>
      </c>
    </row>
    <row r="1145" spans="1:4" x14ac:dyDescent="0.25">
      <c r="A1145" s="29">
        <v>1003</v>
      </c>
      <c r="B1145" t="s">
        <v>1047</v>
      </c>
      <c r="C1145" s="29">
        <v>4</v>
      </c>
      <c r="D1145" s="29">
        <v>1928</v>
      </c>
    </row>
    <row r="1146" spans="1:4" x14ac:dyDescent="0.25">
      <c r="A1146" s="29">
        <v>238</v>
      </c>
      <c r="B1146" t="s">
        <v>282</v>
      </c>
      <c r="C1146" s="29">
        <v>2</v>
      </c>
      <c r="D1146" s="29">
        <v>1929</v>
      </c>
    </row>
    <row r="1147" spans="1:4" x14ac:dyDescent="0.25">
      <c r="A1147" s="29">
        <v>737</v>
      </c>
      <c r="B1147" t="s">
        <v>781</v>
      </c>
      <c r="C1147" s="29">
        <v>1</v>
      </c>
      <c r="D1147" s="29">
        <v>1929</v>
      </c>
    </row>
    <row r="1148" spans="1:4" x14ac:dyDescent="0.25">
      <c r="A1148" s="29">
        <v>880</v>
      </c>
      <c r="B1148" t="s">
        <v>924</v>
      </c>
      <c r="C1148" s="29">
        <v>1</v>
      </c>
      <c r="D1148" s="29">
        <v>1929</v>
      </c>
    </row>
    <row r="1149" spans="1:4" x14ac:dyDescent="0.25">
      <c r="A1149" s="29">
        <v>257</v>
      </c>
      <c r="B1149" t="s">
        <v>301</v>
      </c>
      <c r="C1149" s="29">
        <v>1</v>
      </c>
      <c r="D1149" s="29">
        <v>1931</v>
      </c>
    </row>
    <row r="1150" spans="1:4" x14ac:dyDescent="0.25">
      <c r="A1150" s="29">
        <v>402</v>
      </c>
      <c r="B1150" t="s">
        <v>446</v>
      </c>
      <c r="C1150" s="29">
        <v>1</v>
      </c>
      <c r="D1150" s="29">
        <v>1932</v>
      </c>
    </row>
    <row r="1151" spans="1:4" x14ac:dyDescent="0.25">
      <c r="A1151" s="29">
        <v>637</v>
      </c>
      <c r="B1151" t="s">
        <v>681</v>
      </c>
      <c r="C1151" s="29">
        <v>3</v>
      </c>
      <c r="D1151" s="29">
        <v>1932</v>
      </c>
    </row>
    <row r="1152" spans="1:4" x14ac:dyDescent="0.25">
      <c r="A1152" s="29">
        <v>952</v>
      </c>
      <c r="B1152" t="s">
        <v>996</v>
      </c>
      <c r="C1152" s="29">
        <v>5</v>
      </c>
      <c r="D1152" s="29">
        <v>1933</v>
      </c>
    </row>
    <row r="1153" spans="1:4" x14ac:dyDescent="0.25">
      <c r="A1153" s="29">
        <v>953</v>
      </c>
      <c r="B1153" t="s">
        <v>997</v>
      </c>
      <c r="C1153" s="29">
        <v>1</v>
      </c>
      <c r="D1153" s="29">
        <v>1933</v>
      </c>
    </row>
    <row r="1154" spans="1:4" x14ac:dyDescent="0.25">
      <c r="A1154" s="29">
        <v>457</v>
      </c>
      <c r="B1154" t="s">
        <v>501</v>
      </c>
      <c r="C1154" s="29">
        <v>4</v>
      </c>
      <c r="D1154" s="29">
        <v>1936</v>
      </c>
    </row>
    <row r="1155" spans="1:4" x14ac:dyDescent="0.25">
      <c r="A1155" s="29">
        <v>1070</v>
      </c>
      <c r="B1155" t="s">
        <v>1114</v>
      </c>
      <c r="C1155" s="29">
        <v>1</v>
      </c>
      <c r="D1155" s="29">
        <v>1936</v>
      </c>
    </row>
    <row r="1156" spans="1:4" x14ac:dyDescent="0.25">
      <c r="A1156" s="29">
        <v>35</v>
      </c>
      <c r="B1156" t="s">
        <v>79</v>
      </c>
      <c r="C1156" s="29">
        <v>1</v>
      </c>
      <c r="D1156" s="29">
        <v>1938</v>
      </c>
    </row>
    <row r="1157" spans="1:4" x14ac:dyDescent="0.25">
      <c r="A1157" s="29">
        <v>171</v>
      </c>
      <c r="B1157" t="s">
        <v>215</v>
      </c>
      <c r="C1157" s="29">
        <v>1</v>
      </c>
      <c r="D1157" s="29">
        <v>1942</v>
      </c>
    </row>
    <row r="1158" spans="1:4" x14ac:dyDescent="0.25">
      <c r="A1158" s="29">
        <v>608</v>
      </c>
      <c r="B1158" t="s">
        <v>652</v>
      </c>
      <c r="C1158" s="29">
        <v>1</v>
      </c>
      <c r="D1158" s="29">
        <v>1942</v>
      </c>
    </row>
    <row r="1159" spans="1:4" x14ac:dyDescent="0.25">
      <c r="A1159" s="29">
        <v>746</v>
      </c>
      <c r="B1159" t="s">
        <v>790</v>
      </c>
      <c r="C1159" s="29">
        <v>1</v>
      </c>
      <c r="D1159" s="29">
        <v>1946</v>
      </c>
    </row>
    <row r="1160" spans="1:4" x14ac:dyDescent="0.25">
      <c r="A1160" s="29">
        <v>233</v>
      </c>
      <c r="B1160" t="s">
        <v>277</v>
      </c>
      <c r="C1160" s="29">
        <v>1</v>
      </c>
      <c r="D1160" s="29">
        <v>1948</v>
      </c>
    </row>
    <row r="1161" spans="1:4" x14ac:dyDescent="0.25">
      <c r="A1161" s="29">
        <v>383</v>
      </c>
      <c r="B1161" t="s">
        <v>427</v>
      </c>
      <c r="C1161" s="29">
        <v>5</v>
      </c>
      <c r="D1161" s="29">
        <v>1948</v>
      </c>
    </row>
    <row r="1162" spans="1:4" x14ac:dyDescent="0.25">
      <c r="A1162" s="29">
        <v>963</v>
      </c>
      <c r="B1162" t="s">
        <v>1007</v>
      </c>
      <c r="C1162" s="29">
        <v>1</v>
      </c>
      <c r="D1162" s="29">
        <v>1949</v>
      </c>
    </row>
    <row r="1163" spans="1:4" x14ac:dyDescent="0.25">
      <c r="A1163" s="29">
        <v>618</v>
      </c>
      <c r="B1163" t="s">
        <v>662</v>
      </c>
      <c r="C1163" s="29">
        <v>1</v>
      </c>
      <c r="D1163" s="29">
        <v>1953</v>
      </c>
    </row>
    <row r="1164" spans="1:4" x14ac:dyDescent="0.25">
      <c r="A1164" s="29">
        <v>741</v>
      </c>
      <c r="B1164" t="s">
        <v>785</v>
      </c>
      <c r="C1164" s="29">
        <v>2</v>
      </c>
      <c r="D1164" s="29">
        <v>1954</v>
      </c>
    </row>
    <row r="1165" spans="1:4" x14ac:dyDescent="0.25">
      <c r="A1165" s="29">
        <v>57</v>
      </c>
      <c r="B1165" t="s">
        <v>101</v>
      </c>
      <c r="C1165" s="29">
        <v>3</v>
      </c>
      <c r="D1165" s="29">
        <v>1955</v>
      </c>
    </row>
    <row r="1166" spans="1:4" x14ac:dyDescent="0.25">
      <c r="A1166" s="29">
        <v>918</v>
      </c>
      <c r="B1166" t="s">
        <v>962</v>
      </c>
      <c r="C1166" s="29">
        <v>1</v>
      </c>
      <c r="D1166" s="29">
        <v>1955</v>
      </c>
    </row>
    <row r="1167" spans="1:4" x14ac:dyDescent="0.25">
      <c r="A1167" s="29">
        <v>925</v>
      </c>
      <c r="B1167" t="s">
        <v>969</v>
      </c>
      <c r="C1167" s="29">
        <v>1</v>
      </c>
      <c r="D1167" s="29">
        <v>1955</v>
      </c>
    </row>
    <row r="1168" spans="1:4" x14ac:dyDescent="0.25">
      <c r="A1168" s="29">
        <v>304</v>
      </c>
      <c r="B1168" t="s">
        <v>348</v>
      </c>
      <c r="C1168" s="29">
        <v>1</v>
      </c>
      <c r="D1168" s="29">
        <v>1956</v>
      </c>
    </row>
    <row r="1169" spans="1:4" x14ac:dyDescent="0.25">
      <c r="A1169" s="29">
        <v>653</v>
      </c>
      <c r="B1169" t="s">
        <v>697</v>
      </c>
      <c r="C1169" s="29">
        <v>1</v>
      </c>
      <c r="D1169" s="29">
        <v>1956</v>
      </c>
    </row>
    <row r="1170" spans="1:4" x14ac:dyDescent="0.25">
      <c r="A1170" s="29">
        <v>369</v>
      </c>
      <c r="B1170" t="s">
        <v>413</v>
      </c>
      <c r="C1170" s="29">
        <v>2</v>
      </c>
      <c r="D1170" s="29">
        <v>1958</v>
      </c>
    </row>
    <row r="1171" spans="1:4" x14ac:dyDescent="0.25">
      <c r="A1171" s="29">
        <v>19</v>
      </c>
      <c r="B1171" t="s">
        <v>63</v>
      </c>
      <c r="C1171" s="29">
        <v>3</v>
      </c>
      <c r="D1171" s="29">
        <v>1959</v>
      </c>
    </row>
    <row r="1172" spans="1:4" x14ac:dyDescent="0.25">
      <c r="A1172" s="29">
        <v>619</v>
      </c>
      <c r="B1172" t="s">
        <v>663</v>
      </c>
      <c r="C1172" s="29">
        <v>1</v>
      </c>
      <c r="D1172" s="29">
        <v>1959</v>
      </c>
    </row>
    <row r="1173" spans="1:4" x14ac:dyDescent="0.25">
      <c r="A1173" s="29">
        <v>327</v>
      </c>
      <c r="B1173" t="s">
        <v>371</v>
      </c>
      <c r="C1173" s="29">
        <v>4</v>
      </c>
      <c r="D1173" s="29">
        <v>1963</v>
      </c>
    </row>
    <row r="1174" spans="1:4" x14ac:dyDescent="0.25">
      <c r="A1174" s="29">
        <v>706</v>
      </c>
      <c r="B1174" t="s">
        <v>750</v>
      </c>
      <c r="C1174" s="29">
        <v>1</v>
      </c>
      <c r="D1174" s="29">
        <v>1963</v>
      </c>
    </row>
    <row r="1175" spans="1:4" x14ac:dyDescent="0.25">
      <c r="A1175" s="29">
        <v>667</v>
      </c>
      <c r="B1175" t="s">
        <v>711</v>
      </c>
      <c r="C1175" s="29">
        <v>1</v>
      </c>
      <c r="D1175" s="29">
        <v>1968</v>
      </c>
    </row>
    <row r="1176" spans="1:4" x14ac:dyDescent="0.25">
      <c r="A1176" s="29">
        <v>606</v>
      </c>
      <c r="B1176" t="s">
        <v>650</v>
      </c>
      <c r="C1176" s="29">
        <v>1</v>
      </c>
      <c r="D1176" s="29">
        <v>1971</v>
      </c>
    </row>
    <row r="1177" spans="1:4" x14ac:dyDescent="0.25">
      <c r="A1177" s="29">
        <v>838</v>
      </c>
      <c r="B1177" t="s">
        <v>882</v>
      </c>
      <c r="C1177" s="29">
        <v>1</v>
      </c>
      <c r="D1177" s="29">
        <v>1971</v>
      </c>
    </row>
    <row r="1178" spans="1:4" x14ac:dyDescent="0.25">
      <c r="A1178" s="29">
        <v>527</v>
      </c>
      <c r="B1178" t="s">
        <v>571</v>
      </c>
      <c r="C1178" s="29">
        <v>1</v>
      </c>
      <c r="D1178" s="29">
        <v>1976</v>
      </c>
    </row>
    <row r="1179" spans="1:4" x14ac:dyDescent="0.25">
      <c r="A1179" s="29">
        <v>808</v>
      </c>
      <c r="B1179" t="s">
        <v>852</v>
      </c>
      <c r="C1179" s="29">
        <v>1</v>
      </c>
      <c r="D1179" s="29">
        <v>1976</v>
      </c>
    </row>
    <row r="1180" spans="1:4" x14ac:dyDescent="0.25">
      <c r="A1180" s="29">
        <v>1004</v>
      </c>
      <c r="B1180" t="s">
        <v>1048</v>
      </c>
      <c r="C1180" s="29">
        <v>4</v>
      </c>
      <c r="D1180" s="29">
        <v>1979</v>
      </c>
    </row>
    <row r="1181" spans="1:4" x14ac:dyDescent="0.25">
      <c r="A1181" s="29">
        <v>783</v>
      </c>
      <c r="B1181" t="s">
        <v>827</v>
      </c>
      <c r="C1181" s="29">
        <v>1</v>
      </c>
      <c r="D1181" s="29">
        <v>1980</v>
      </c>
    </row>
    <row r="1182" spans="1:4" x14ac:dyDescent="0.25">
      <c r="A1182" s="29">
        <v>592</v>
      </c>
      <c r="B1182" t="s">
        <v>636</v>
      </c>
      <c r="C1182" s="29">
        <v>1</v>
      </c>
      <c r="D1182" s="29">
        <v>1981</v>
      </c>
    </row>
    <row r="1183" spans="1:4" x14ac:dyDescent="0.25">
      <c r="A1183" s="29">
        <v>132</v>
      </c>
      <c r="B1183" t="s">
        <v>176</v>
      </c>
      <c r="C1183" s="29">
        <v>1</v>
      </c>
      <c r="D1183" s="29">
        <v>1985</v>
      </c>
    </row>
    <row r="1184" spans="1:4" x14ac:dyDescent="0.25">
      <c r="A1184" s="29">
        <v>347</v>
      </c>
      <c r="B1184" t="s">
        <v>391</v>
      </c>
      <c r="C1184" s="29">
        <v>1</v>
      </c>
      <c r="D1184" s="29">
        <v>1985</v>
      </c>
    </row>
    <row r="1185" spans="1:4" x14ac:dyDescent="0.25">
      <c r="A1185" s="29">
        <v>456</v>
      </c>
      <c r="B1185" t="s">
        <v>500</v>
      </c>
      <c r="C1185" s="29">
        <v>1</v>
      </c>
      <c r="D1185" s="29">
        <v>1985</v>
      </c>
    </row>
    <row r="1186" spans="1:4" x14ac:dyDescent="0.25">
      <c r="A1186" s="29">
        <v>807</v>
      </c>
      <c r="B1186" t="s">
        <v>851</v>
      </c>
      <c r="C1186" s="29">
        <v>4</v>
      </c>
      <c r="D1186" s="29">
        <v>1985</v>
      </c>
    </row>
    <row r="1187" spans="1:4" x14ac:dyDescent="0.25">
      <c r="A1187" s="29">
        <v>355</v>
      </c>
      <c r="B1187" t="s">
        <v>399</v>
      </c>
      <c r="C1187" s="29">
        <v>6</v>
      </c>
      <c r="D1187" s="29">
        <v>1987</v>
      </c>
    </row>
    <row r="1188" spans="1:4" x14ac:dyDescent="0.25">
      <c r="A1188" s="29">
        <v>755</v>
      </c>
      <c r="B1188" t="s">
        <v>799</v>
      </c>
      <c r="C1188" s="29">
        <v>1</v>
      </c>
      <c r="D1188" s="29">
        <v>1990</v>
      </c>
    </row>
    <row r="1189" spans="1:4" x14ac:dyDescent="0.25">
      <c r="A1189" s="29">
        <v>58</v>
      </c>
      <c r="B1189" t="s">
        <v>102</v>
      </c>
      <c r="C1189" s="29">
        <v>6</v>
      </c>
      <c r="D1189" s="29">
        <v>1991</v>
      </c>
    </row>
    <row r="1190" spans="1:4" x14ac:dyDescent="0.25">
      <c r="A1190" s="29">
        <v>1129</v>
      </c>
      <c r="B1190" t="s">
        <v>1173</v>
      </c>
      <c r="C1190" s="29">
        <v>1</v>
      </c>
      <c r="D1190" s="29">
        <v>1992</v>
      </c>
    </row>
    <row r="1191" spans="1:4" x14ac:dyDescent="0.25">
      <c r="A1191" s="29">
        <v>1046</v>
      </c>
      <c r="B1191" t="s">
        <v>1090</v>
      </c>
      <c r="C1191" s="29">
        <v>1</v>
      </c>
      <c r="D1191" s="29">
        <v>1994</v>
      </c>
    </row>
    <row r="1192" spans="1:4" x14ac:dyDescent="0.25">
      <c r="A1192" s="29">
        <v>586</v>
      </c>
      <c r="B1192" t="s">
        <v>630</v>
      </c>
      <c r="C1192" s="29">
        <v>1</v>
      </c>
      <c r="D1192" s="29">
        <v>1995</v>
      </c>
    </row>
    <row r="1193" spans="1:4" x14ac:dyDescent="0.25">
      <c r="A1193" s="29">
        <v>1141</v>
      </c>
      <c r="B1193" t="s">
        <v>1185</v>
      </c>
      <c r="C1193" s="29">
        <v>5</v>
      </c>
      <c r="D1193" s="29">
        <v>1995</v>
      </c>
    </row>
    <row r="1194" spans="1:4" x14ac:dyDescent="0.25">
      <c r="A1194" s="29">
        <v>535</v>
      </c>
      <c r="B1194" t="s">
        <v>579</v>
      </c>
      <c r="C1194" s="29">
        <v>1</v>
      </c>
      <c r="D1194" s="29">
        <v>1997</v>
      </c>
    </row>
    <row r="1195" spans="1:4" x14ac:dyDescent="0.25">
      <c r="A1195" s="29">
        <v>185</v>
      </c>
      <c r="B1195" t="s">
        <v>229</v>
      </c>
      <c r="C1195" s="29">
        <v>1</v>
      </c>
      <c r="D1195" s="29">
        <v>1999</v>
      </c>
    </row>
    <row r="1196" spans="1:4" x14ac:dyDescent="0.25">
      <c r="A1196" s="29">
        <v>760</v>
      </c>
      <c r="B1196" t="s">
        <v>804</v>
      </c>
      <c r="C1196" s="29">
        <v>4</v>
      </c>
      <c r="D1196" s="29">
        <v>1999</v>
      </c>
    </row>
    <row r="1197" spans="1:4" x14ac:dyDescent="0.25">
      <c r="A1197" s="29">
        <v>809</v>
      </c>
      <c r="B1197" t="s">
        <v>853</v>
      </c>
      <c r="C1197" s="29">
        <v>1</v>
      </c>
      <c r="D1197" s="29">
        <v>1999</v>
      </c>
    </row>
  </sheetData>
  <autoFilter ref="A1:D1197"/>
  <mergeCells count="4">
    <mergeCell ref="F1:M1"/>
    <mergeCell ref="F2:H2"/>
    <mergeCell ref="I2:M2"/>
    <mergeCell ref="F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5"/>
  <sheetViews>
    <sheetView workbookViewId="0" zoomScale="190" zoomScaleNormal="190">
      <selection activeCell="B8" sqref="B8"/>
    </sheetView>
  </sheetViews>
  <sheetFormatPr defaultRowHeight="15" outlineLevelRow="0" outlineLevelCol="0" x14ac:dyDescent="0.25"/>
  <cols>
    <col min="1" max="1" width="4" customWidth="1"/>
    <col min="2" max="2" width="30" customWidth="1"/>
    <col min="3" max="4" width="15" customWidth="1"/>
    <col min="5" max="6" width="12" customWidth="1"/>
    <col min="7" max="8" width="8" customWidth="1"/>
    <col min="9" max="9" width="30" customWidth="1"/>
    <col min="10" max="11" width="15" customWidth="1"/>
    <col min="12" max="13" width="12" customWidth="1"/>
    <col min="14" max="14" width="8" customWidth="1"/>
    <col min="15" max="16" width="12" customWidth="1"/>
  </cols>
  <sheetData>
    <row r="2" ht="26.25" customHeight="1" spans="2:2" x14ac:dyDescent="0.25">
      <c r="B2" s="1" t="s">
        <v>0</v>
      </c>
    </row>
    <row r="3" spans="2:2" x14ac:dyDescent="0.25">
      <c r="B3" t="s">
        <v>1</v>
      </c>
    </row>
    <row r="4" spans="3:3" x14ac:dyDescent="0.25">
      <c r="C4" t="s">
        <v>2</v>
      </c>
    </row>
    <row r="5" spans="2:2" x14ac:dyDescent="0.25">
      <c r="B5" t="s">
        <v>3</v>
      </c>
    </row>
    <row r="6" spans="3:3" x14ac:dyDescent="0.25">
      <c r="C6" t="s">
        <v>4</v>
      </c>
    </row>
    <row r="7" ht="30.75" customHeight="1" spans="2:15" x14ac:dyDescent="0.25">
      <c r="B7" s="2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30.75" customHeight="1" spans="2:15" x14ac:dyDescent="0.25">
      <c r="B8" s="2" t="s">
        <v>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10" spans="3:11" x14ac:dyDescent="0.25">
      <c r="C10" s="3"/>
    </row>
    <row r="11" spans="2:16" x14ac:dyDescent="0.25">
      <c r="B11" s="4" t="s">
        <v>7</v>
      </c>
      <c r="C11" s="3"/>
      <c r="D11" s="5"/>
      <c r="E11" s="5"/>
      <c r="F11" s="5"/>
      <c r="G11" s="5"/>
      <c r="H11" s="5"/>
      <c r="I11" s="4" t="s">
        <v>8</v>
      </c>
      <c r="J11" s="5"/>
      <c r="K11" s="5"/>
      <c r="L11" s="5"/>
      <c r="M11" s="5"/>
      <c r="N11" s="5"/>
      <c r="O11" s="5"/>
      <c r="P11" s="5"/>
    </row>
    <row r="12" spans="2:16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2:16" x14ac:dyDescent="0.25">
      <c r="B13" s="6" t="s">
        <v>9</v>
      </c>
      <c r="C13" s="6"/>
      <c r="D13" s="6"/>
      <c r="E13" s="5" t="s">
        <v>10</v>
      </c>
      <c r="F13" s="5"/>
      <c r="G13" s="5"/>
      <c r="H13" s="5"/>
      <c r="I13" s="6" t="s">
        <v>9</v>
      </c>
      <c r="J13" s="6"/>
      <c r="K13" s="6"/>
      <c r="L13" s="5" t="s">
        <v>11</v>
      </c>
      <c r="M13" s="5"/>
      <c r="N13" s="5"/>
      <c r="O13" s="5"/>
      <c r="P13" s="5"/>
    </row>
    <row r="14" spans="2:16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2:16" x14ac:dyDescent="0.25">
      <c r="B15" s="7" t="s">
        <v>12</v>
      </c>
      <c r="C15" s="8"/>
      <c r="D15" s="8"/>
      <c r="E15" s="9" t="s">
        <v>13</v>
      </c>
      <c r="F15" s="10">
        <f>COUNTA(MATRIZ!A:A)-1</f>
        <v>1196</v>
      </c>
      <c r="G15" s="9"/>
      <c r="H15" s="5"/>
      <c r="I15" s="7" t="s">
        <v>12</v>
      </c>
      <c r="J15" s="8"/>
      <c r="K15" s="8"/>
      <c r="L15" s="9" t="s">
        <v>13</v>
      </c>
      <c r="M15" s="10">
        <f>COUNTA(MATRIZ!A:A)-1</f>
        <v>1196</v>
      </c>
      <c r="N15" s="9"/>
      <c r="O15" s="5"/>
      <c r="P15" s="5"/>
    </row>
    <row r="16" spans="2:16" x14ac:dyDescent="0.25">
      <c r="B16" s="7" t="s">
        <v>14</v>
      </c>
      <c r="C16" s="8"/>
      <c r="D16" s="8"/>
      <c r="E16" s="9" t="s">
        <v>15</v>
      </c>
      <c r="F16" s="11">
        <v>0.92</v>
      </c>
      <c r="G16" s="9"/>
      <c r="H16" s="9" t="s">
        <v>16</v>
      </c>
      <c r="I16" s="12">
        <f>NORMSINV((1+F16)/2)</f>
        <v>1.75068607125217</v>
      </c>
      <c r="J16" s="13" t="s">
        <v>17</v>
      </c>
      <c r="K16" s="8"/>
      <c r="L16" s="9" t="s">
        <v>15</v>
      </c>
      <c r="M16" s="14">
        <v>0.9</v>
      </c>
      <c r="N16" s="9"/>
      <c r="O16" s="9" t="s">
        <v>16</v>
      </c>
      <c r="P16" s="15">
        <f>NORMSINV((1+M16)/2)</f>
        <v>1.64485362695147</v>
      </c>
    </row>
    <row r="17" spans="2:16" x14ac:dyDescent="0.25">
      <c r="B17" s="7" t="s">
        <v>18</v>
      </c>
      <c r="C17" s="8"/>
      <c r="D17" s="8"/>
      <c r="E17" s="9" t="s">
        <v>19</v>
      </c>
      <c r="F17" s="11">
        <f>1-F16</f>
        <v>0.07999999999999996</v>
      </c>
      <c r="G17" s="9"/>
      <c r="H17" s="5"/>
      <c r="I17" s="7" t="s">
        <v>20</v>
      </c>
      <c r="J17" s="8"/>
      <c r="K17" s="8"/>
      <c r="L17" s="9" t="s">
        <v>21</v>
      </c>
      <c r="M17" s="11">
        <v>0.08</v>
      </c>
      <c r="N17" s="9"/>
      <c r="O17" s="5"/>
      <c r="P17" s="5"/>
    </row>
    <row r="18" spans="2:16" x14ac:dyDescent="0.25">
      <c r="B18" s="7" t="s">
        <v>22</v>
      </c>
      <c r="C18" s="8"/>
      <c r="D18" s="8"/>
      <c r="E18" s="9" t="s">
        <v>21</v>
      </c>
      <c r="F18" s="10">
        <v>100</v>
      </c>
      <c r="G18" s="9"/>
      <c r="H18" s="5"/>
      <c r="I18" s="7" t="s">
        <v>23</v>
      </c>
      <c r="J18" s="8"/>
      <c r="K18" s="8"/>
      <c r="L18" s="9" t="s">
        <v>24</v>
      </c>
      <c r="M18" s="11">
        <v>0.85</v>
      </c>
      <c r="N18" s="9"/>
      <c r="O18" s="5"/>
      <c r="P18" s="5"/>
    </row>
    <row r="19" spans="2:16" x14ac:dyDescent="0.25">
      <c r="B19" s="7" t="s">
        <v>25</v>
      </c>
      <c r="C19" s="8"/>
      <c r="D19" s="8"/>
      <c r="E19" s="9" t="s">
        <v>26</v>
      </c>
      <c r="F19" s="10">
        <f>SQRT(122500)</f>
        <v>350</v>
      </c>
      <c r="G19" s="9"/>
      <c r="H19" s="5"/>
      <c r="I19" s="7" t="s">
        <v>27</v>
      </c>
      <c r="J19" s="8"/>
      <c r="K19" s="8"/>
      <c r="L19" s="9" t="s">
        <v>28</v>
      </c>
      <c r="M19" s="11">
        <f>1-M18</f>
        <v>0.15000000000000002</v>
      </c>
      <c r="N19" s="9"/>
      <c r="O19" s="5"/>
      <c r="P19" s="5"/>
    </row>
    <row r="20" spans="2:16" x14ac:dyDescent="0.25">
      <c r="B20" s="7" t="s">
        <v>29</v>
      </c>
      <c r="C20" s="8"/>
      <c r="D20" s="8"/>
      <c r="E20" s="9" t="s">
        <v>30</v>
      </c>
      <c r="F20" s="16">
        <f>(F15*(I16^2)*(F19^2))/(((F15-1)*(F18^2))+((I16^2)*(F19^2)))</f>
        <v>36.43183285185539</v>
      </c>
      <c r="G20" s="17">
        <f>ROUNDUP(F20,0)</f>
        <v>37</v>
      </c>
      <c r="H20" s="5"/>
      <c r="I20" s="7" t="s">
        <v>29</v>
      </c>
      <c r="J20" s="8"/>
      <c r="K20" s="8"/>
      <c r="L20" s="9" t="s">
        <v>30</v>
      </c>
      <c r="M20" s="16">
        <f>(M15*(P16^2)*M18*M19)/(((M15-1)*(M17^2))+((P16^2)*M18*M19))</f>
        <v>51.61648337830039</v>
      </c>
      <c r="N20" s="17">
        <f>ROUNDUP(M20,0)</f>
        <v>52</v>
      </c>
      <c r="O20" s="5"/>
      <c r="P20" s="5"/>
    </row>
    <row r="21" spans="2:16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2:16" x14ac:dyDescent="0.25">
      <c r="B22" s="18" t="s">
        <v>31</v>
      </c>
      <c r="C22" s="18"/>
      <c r="D22" s="18"/>
      <c r="E22" s="18"/>
      <c r="F22" s="18"/>
      <c r="G22" s="18"/>
      <c r="H22" s="5"/>
      <c r="I22" s="18" t="s">
        <v>32</v>
      </c>
      <c r="J22" s="18"/>
      <c r="K22" s="18"/>
      <c r="L22" s="18"/>
      <c r="M22" s="18"/>
      <c r="N22" s="18"/>
      <c r="O22" s="18"/>
      <c r="P22" s="18"/>
    </row>
    <row r="23" spans="2:16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2:16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2:16" x14ac:dyDescent="0.25">
      <c r="B25" s="19" t="s">
        <v>33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20" t="s">
        <v>30</v>
      </c>
      <c r="O25" s="21">
        <f>MAX(G20,N20)</f>
        <v>52</v>
      </c>
      <c r="P25" s="5"/>
    </row>
  </sheetData>
  <mergeCells count="9">
    <mergeCell ref="B7:O7"/>
    <mergeCell ref="B8:O8"/>
    <mergeCell ref="B13:D13"/>
    <mergeCell ref="E13:G13"/>
    <mergeCell ref="I13:K13"/>
    <mergeCell ref="L13:P13"/>
    <mergeCell ref="B22:G22"/>
    <mergeCell ref="I22:P22"/>
    <mergeCell ref="B25:M25"/>
  </mergeCells>
  <pageMargins left="0.7" right="0.7" top="0.75" bottom="0.75" header="0.3" footer="0.3"/>
  <pageSetup paperSize="9" orientation="portrait" horizontalDpi="4294967293" verticalDpi="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"/>
  </sheetPr>
  <dimension ref="A1:K1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8" customWidth="1"/>
    <col min="2" max="2" width="40" customWidth="1"/>
    <col min="3" max="3" width="10" customWidth="1"/>
    <col min="4" max="4" width="3" customWidth="1"/>
    <col min="5" max="6" width="8" customWidth="1"/>
    <col min="7" max="7" width="34" customWidth="1"/>
    <col min="8" max="8" width="10" customWidth="1"/>
    <col min="9" max="9" width="12" customWidth="1"/>
    <col min="10" max="10" width="10" customWidth="1"/>
    <col min="11" max="11" width="12" customWidth="1"/>
  </cols>
  <sheetData>
    <row r="1" spans="1:11" x14ac:dyDescent="0.25">
      <c r="A1" s="27" t="s">
        <v>34</v>
      </c>
      <c r="B1" s="27" t="s">
        <v>35</v>
      </c>
      <c r="C1" s="27" t="s">
        <v>36</v>
      </c>
      <c r="E1" s="28" t="s">
        <v>1247</v>
      </c>
      <c r="F1" s="28"/>
      <c r="G1" s="28"/>
      <c r="H1" s="28"/>
      <c r="I1" s="28"/>
      <c r="J1" s="28"/>
      <c r="K1" s="28"/>
    </row>
    <row r="2" spans="1:11" x14ac:dyDescent="0.25">
      <c r="A2">
        <v>1</v>
      </c>
      <c r="B2" t="s">
        <v>37</v>
      </c>
      <c r="C2">
        <v>2</v>
      </c>
      <c r="E2" s="6" t="s">
        <v>9</v>
      </c>
      <c r="F2" s="6"/>
      <c r="G2" s="6"/>
      <c r="H2" t="s">
        <v>1243</v>
      </c>
      <c r="I2"/>
      <c r="J2"/>
      <c r="K2"/>
    </row>
    <row r="3" spans="1:3" x14ac:dyDescent="0.25">
      <c r="A3">
        <v>2</v>
      </c>
      <c r="B3" t="s">
        <v>38</v>
      </c>
      <c r="C3">
        <v>2</v>
      </c>
    </row>
    <row r="4" spans="1:10" x14ac:dyDescent="0.25">
      <c r="A4">
        <v>3</v>
      </c>
      <c r="B4" t="s">
        <v>39</v>
      </c>
      <c r="C4">
        <v>1</v>
      </c>
      <c r="E4" s="31" t="s">
        <v>12</v>
      </c>
      <c r="F4" s="32"/>
      <c r="G4" s="32"/>
      <c r="H4" s="33" t="s">
        <v>13</v>
      </c>
      <c r="I4" s="34">
        <f>Actividad!M15</f>
        <v>1196</v>
      </c>
      <c r="J4" s="33"/>
    </row>
    <row r="5" spans="1:11" x14ac:dyDescent="0.25">
      <c r="A5">
        <v>4</v>
      </c>
      <c r="B5" t="s">
        <v>40</v>
      </c>
      <c r="C5">
        <v>1</v>
      </c>
      <c r="E5" s="31" t="s">
        <v>14</v>
      </c>
      <c r="F5" s="32"/>
      <c r="G5" s="32"/>
      <c r="H5" s="33" t="s">
        <v>15</v>
      </c>
      <c r="I5" s="35">
        <f>Actividad!M16</f>
        <v>0.9</v>
      </c>
      <c r="J5" s="33" t="s">
        <v>16</v>
      </c>
      <c r="K5" s="36">
        <f>Actividad!P16</f>
        <v>1.64485362695147</v>
      </c>
    </row>
    <row r="6" spans="1:10" x14ac:dyDescent="0.25">
      <c r="A6">
        <v>5</v>
      </c>
      <c r="B6" t="s">
        <v>43</v>
      </c>
      <c r="C6">
        <v>1</v>
      </c>
      <c r="E6" s="31" t="s">
        <v>20</v>
      </c>
      <c r="F6" s="32"/>
      <c r="G6" s="32"/>
      <c r="H6" s="33" t="s">
        <v>21</v>
      </c>
      <c r="I6" s="37">
        <f>Actividad!M17</f>
        <v>0.08</v>
      </c>
      <c r="J6" s="33"/>
    </row>
    <row r="7" spans="1:10" x14ac:dyDescent="0.25">
      <c r="A7">
        <v>6</v>
      </c>
      <c r="B7" t="s">
        <v>45</v>
      </c>
      <c r="C7">
        <v>1</v>
      </c>
      <c r="E7" s="31" t="s">
        <v>24</v>
      </c>
      <c r="F7" s="32"/>
      <c r="G7" s="32"/>
      <c r="H7" s="33" t="s">
        <v>24</v>
      </c>
      <c r="I7" s="37">
        <f>Actividad!M18</f>
        <v>0.85</v>
      </c>
      <c r="J7" s="33"/>
    </row>
    <row r="8" spans="1:10" x14ac:dyDescent="0.25">
      <c r="A8">
        <v>7</v>
      </c>
      <c r="B8" t="s">
        <v>47</v>
      </c>
      <c r="C8">
        <v>6</v>
      </c>
      <c r="E8" s="31" t="s">
        <v>28</v>
      </c>
      <c r="F8" s="32"/>
      <c r="G8" s="32"/>
      <c r="H8" s="33" t="s">
        <v>28</v>
      </c>
      <c r="I8" s="37">
        <f>Actividad!M19</f>
        <v>0.15000000000000002</v>
      </c>
      <c r="J8" s="33"/>
    </row>
    <row r="9" spans="1:10" x14ac:dyDescent="0.25">
      <c r="A9">
        <v>8</v>
      </c>
      <c r="B9" t="s">
        <v>49</v>
      </c>
      <c r="C9">
        <v>1</v>
      </c>
      <c r="E9" s="31" t="s">
        <v>29</v>
      </c>
      <c r="F9" s="32"/>
      <c r="G9" s="32"/>
      <c r="H9" s="33" t="s">
        <v>30</v>
      </c>
      <c r="I9" s="38">
        <f>Actividad!M20</f>
        <v>51.61648337830039</v>
      </c>
      <c r="J9" s="17">
        <f>Actividad!N20</f>
        <v>52</v>
      </c>
    </row>
    <row r="10" spans="1:3" x14ac:dyDescent="0.25">
      <c r="A10">
        <v>9</v>
      </c>
      <c r="B10" t="s">
        <v>51</v>
      </c>
      <c r="C10">
        <v>1</v>
      </c>
    </row>
    <row r="11" spans="1:5" x14ac:dyDescent="0.25">
      <c r="A11">
        <v>10</v>
      </c>
      <c r="B11" t="s">
        <v>53</v>
      </c>
      <c r="C11">
        <v>4</v>
      </c>
      <c r="E11" s="39" t="s">
        <v>1245</v>
      </c>
    </row>
    <row r="12" spans="1:9" x14ac:dyDescent="0.25">
      <c r="A12">
        <v>11</v>
      </c>
      <c r="B12" t="s">
        <v>55</v>
      </c>
      <c r="C12">
        <v>1</v>
      </c>
      <c r="E12" t="s">
        <v>1248</v>
      </c>
      <c r="H12" t="s">
        <v>1249</v>
      </c>
      <c r="I12" s="42">
        <f>ROUND(I4/J9,0)</f>
        <v>23</v>
      </c>
    </row>
    <row r="13" spans="1:9" x14ac:dyDescent="0.25">
      <c r="A13">
        <v>12</v>
      </c>
      <c r="B13" t="s">
        <v>56</v>
      </c>
      <c r="C13">
        <v>1</v>
      </c>
      <c r="E13" t="s">
        <v>1250</v>
      </c>
      <c r="H13" t="s">
        <v>1251</v>
      </c>
      <c r="I13" s="43">
        <v>17</v>
      </c>
    </row>
    <row r="14" spans="1:3" x14ac:dyDescent="0.25">
      <c r="A14">
        <v>13</v>
      </c>
      <c r="B14" t="s">
        <v>57</v>
      </c>
      <c r="C14">
        <v>1</v>
      </c>
    </row>
    <row r="15" spans="1:8" x14ac:dyDescent="0.25">
      <c r="A15">
        <v>14</v>
      </c>
      <c r="B15" t="s">
        <v>58</v>
      </c>
      <c r="C15">
        <v>3</v>
      </c>
      <c r="E15" s="40" t="s">
        <v>1246</v>
      </c>
      <c r="F15" s="40" t="s">
        <v>34</v>
      </c>
      <c r="G15" s="40" t="s">
        <v>35</v>
      </c>
      <c r="H15" s="40" t="s">
        <v>36</v>
      </c>
    </row>
    <row r="16" spans="1:8" x14ac:dyDescent="0.25">
      <c r="A16">
        <v>15</v>
      </c>
      <c r="B16" t="s">
        <v>59</v>
      </c>
      <c r="C16">
        <v>2</v>
      </c>
      <c r="E16" s="44">
        <v>1</v>
      </c>
      <c r="F16" s="45">
        <f>$I$13</f>
        <v>17</v>
      </c>
      <c r="G16" s="32" t="str">
        <f>INDEX(MATRIZ!B:B,F16+1)</f>
        <v>ORTHOMEDIC EIRL</v>
      </c>
      <c r="H16" s="45">
        <f>INDEX(MATRIZ!C:C,F16+1)</f>
        <v>2</v>
      </c>
    </row>
    <row r="17" spans="1:8" x14ac:dyDescent="0.25">
      <c r="A17">
        <v>16</v>
      </c>
      <c r="B17" t="s">
        <v>60</v>
      </c>
      <c r="C17">
        <v>4</v>
      </c>
      <c r="E17" s="44">
        <v>2</v>
      </c>
      <c r="F17" s="45">
        <f>F16+$I$12</f>
        <v>40</v>
      </c>
      <c r="G17" s="32" t="str">
        <f>INDEX(MATRIZ!B:B,F17+1)</f>
        <v>M &amp; A INSTALACIONES  PROFESIONALES SAC</v>
      </c>
      <c r="H17" s="45">
        <f>INDEX(MATRIZ!C:C,F17+1)</f>
        <v>3</v>
      </c>
    </row>
    <row r="18" spans="1:8" x14ac:dyDescent="0.25">
      <c r="A18">
        <v>17</v>
      </c>
      <c r="B18" t="s">
        <v>61</v>
      </c>
      <c r="C18">
        <v>2</v>
      </c>
      <c r="E18" s="44">
        <v>3</v>
      </c>
      <c r="F18" s="45">
        <f>F17+$I$12</f>
        <v>63</v>
      </c>
      <c r="G18" s="32" t="str">
        <f>INDEX(MATRIZ!B:B,F18+1)</f>
        <v>CONDORI CHURA PASTORA</v>
      </c>
      <c r="H18" s="45">
        <f>INDEX(MATRIZ!C:C,F18+1)</f>
        <v>1</v>
      </c>
    </row>
    <row r="19" spans="1:8" x14ac:dyDescent="0.25">
      <c r="A19">
        <v>18</v>
      </c>
      <c r="B19" t="s">
        <v>62</v>
      </c>
      <c r="C19">
        <v>1</v>
      </c>
      <c r="E19" s="44">
        <v>4</v>
      </c>
      <c r="F19" s="45">
        <f>F18+$I$12</f>
        <v>86</v>
      </c>
      <c r="G19" s="32" t="str">
        <f>INDEX(MATRIZ!B:B,F19+1)</f>
        <v>BUENDIA POMA RODRIGO NICOLAS</v>
      </c>
      <c r="H19" s="45">
        <f>INDEX(MATRIZ!C:C,F19+1)</f>
        <v>2</v>
      </c>
    </row>
    <row r="20" spans="1:8" x14ac:dyDescent="0.25">
      <c r="A20">
        <v>19</v>
      </c>
      <c r="B20" t="s">
        <v>63</v>
      </c>
      <c r="C20">
        <v>3</v>
      </c>
      <c r="E20" s="44">
        <v>5</v>
      </c>
      <c r="F20" s="45">
        <f>F19+$I$12</f>
        <v>109</v>
      </c>
      <c r="G20" s="32" t="str">
        <f>INDEX(MATRIZ!B:B,F20+1)</f>
        <v>QUINTANA PINEDO MARIA MANUELA</v>
      </c>
      <c r="H20" s="45">
        <f>INDEX(MATRIZ!C:C,F20+1)</f>
        <v>1</v>
      </c>
    </row>
    <row r="21" spans="1:8" x14ac:dyDescent="0.25">
      <c r="A21">
        <v>20</v>
      </c>
      <c r="B21" t="s">
        <v>64</v>
      </c>
      <c r="C21">
        <v>1</v>
      </c>
      <c r="E21" s="44">
        <v>6</v>
      </c>
      <c r="F21" s="45">
        <f>F20+$I$12</f>
        <v>132</v>
      </c>
      <c r="G21" s="32" t="str">
        <f>INDEX(MATRIZ!B:B,F21+1)</f>
        <v>MULTINEGOCIOS INFORMATICOS SAC</v>
      </c>
      <c r="H21" s="45">
        <f>INDEX(MATRIZ!C:C,F21+1)</f>
        <v>1</v>
      </c>
    </row>
    <row r="22" spans="1:8" x14ac:dyDescent="0.25">
      <c r="A22">
        <v>21</v>
      </c>
      <c r="B22" t="s">
        <v>65</v>
      </c>
      <c r="C22">
        <v>1</v>
      </c>
      <c r="E22" s="44">
        <v>7</v>
      </c>
      <c r="F22" s="45">
        <f>F21+$I$12</f>
        <v>155</v>
      </c>
      <c r="G22" s="32" t="str">
        <f>INDEX(MATRIZ!B:B,F22+1)</f>
        <v>APAZA APAZA REINALDO</v>
      </c>
      <c r="H22" s="45">
        <f>INDEX(MATRIZ!C:C,F22+1)</f>
        <v>1</v>
      </c>
    </row>
    <row r="23" spans="1:8" x14ac:dyDescent="0.25">
      <c r="A23">
        <v>22</v>
      </c>
      <c r="B23" t="s">
        <v>66</v>
      </c>
      <c r="C23">
        <v>1</v>
      </c>
      <c r="E23" s="44">
        <v>8</v>
      </c>
      <c r="F23" s="45">
        <f>F22+$I$12</f>
        <v>178</v>
      </c>
      <c r="G23" s="32" t="str">
        <f>INDEX(MATRIZ!B:B,F23+1)</f>
        <v>DAVILA SINACAY ROSITA ANGELICA</v>
      </c>
      <c r="H23" s="45">
        <f>INDEX(MATRIZ!C:C,F23+1)</f>
        <v>1</v>
      </c>
    </row>
    <row r="24" spans="1:8" x14ac:dyDescent="0.25">
      <c r="A24">
        <v>23</v>
      </c>
      <c r="B24" t="s">
        <v>67</v>
      </c>
      <c r="C24">
        <v>1</v>
      </c>
      <c r="E24" s="44">
        <v>9</v>
      </c>
      <c r="F24" s="45">
        <f>F23+$I$12</f>
        <v>201</v>
      </c>
      <c r="G24" s="32" t="str">
        <f>INDEX(MATRIZ!B:B,F24+1)</f>
        <v>ALMEN ESTABLECIMIENTOS EIRL</v>
      </c>
      <c r="H24" s="45">
        <f>INDEX(MATRIZ!C:C,F24+1)</f>
        <v>1</v>
      </c>
    </row>
    <row r="25" spans="1:8" x14ac:dyDescent="0.25">
      <c r="A25">
        <v>24</v>
      </c>
      <c r="B25" t="s">
        <v>68</v>
      </c>
      <c r="C25">
        <v>4</v>
      </c>
      <c r="E25" s="44">
        <v>10</v>
      </c>
      <c r="F25" s="45">
        <f>F24+$I$12</f>
        <v>224</v>
      </c>
      <c r="G25" s="32" t="str">
        <f>INDEX(MATRIZ!B:B,F25+1)</f>
        <v>ACHO YAPUCHURA MARISOL</v>
      </c>
      <c r="H25" s="45">
        <f>INDEX(MATRIZ!C:C,F25+1)</f>
        <v>1</v>
      </c>
    </row>
    <row r="26" spans="1:8" x14ac:dyDescent="0.25">
      <c r="A26">
        <v>25</v>
      </c>
      <c r="B26" t="s">
        <v>69</v>
      </c>
      <c r="C26">
        <v>6</v>
      </c>
      <c r="E26" s="44">
        <v>11</v>
      </c>
      <c r="F26" s="45">
        <f>F25+$I$12</f>
        <v>247</v>
      </c>
      <c r="G26" s="32" t="str">
        <f>INDEX(MATRIZ!B:B,F26+1)</f>
        <v>JOMM S CORP EIRL</v>
      </c>
      <c r="H26" s="45">
        <f>INDEX(MATRIZ!C:C,F26+1)</f>
        <v>1</v>
      </c>
    </row>
    <row r="27" spans="1:8" x14ac:dyDescent="0.25">
      <c r="A27">
        <v>26</v>
      </c>
      <c r="B27" t="s">
        <v>70</v>
      </c>
      <c r="C27">
        <v>1</v>
      </c>
      <c r="E27" s="44">
        <v>12</v>
      </c>
      <c r="F27" s="45">
        <f>F26+$I$12</f>
        <v>270</v>
      </c>
      <c r="G27" s="32" t="str">
        <f>INDEX(MATRIZ!B:B,F27+1)</f>
        <v>TENORIO AREVALO ARTURO</v>
      </c>
      <c r="H27" s="45">
        <f>INDEX(MATRIZ!C:C,F27+1)</f>
        <v>3</v>
      </c>
    </row>
    <row r="28" spans="1:8" x14ac:dyDescent="0.25">
      <c r="A28">
        <v>27</v>
      </c>
      <c r="B28" t="s">
        <v>71</v>
      </c>
      <c r="C28">
        <v>2</v>
      </c>
      <c r="E28" s="44">
        <v>13</v>
      </c>
      <c r="F28" s="45">
        <f>F27+$I$12</f>
        <v>293</v>
      </c>
      <c r="G28" s="32" t="str">
        <f>INDEX(MATRIZ!B:B,F28+1)</f>
        <v>COPIADORAS IMPORT EIRL</v>
      </c>
      <c r="H28" s="45">
        <f>INDEX(MATRIZ!C:C,F28+1)</f>
        <v>3</v>
      </c>
    </row>
    <row r="29" spans="1:8" x14ac:dyDescent="0.25">
      <c r="A29">
        <v>28</v>
      </c>
      <c r="B29" t="s">
        <v>72</v>
      </c>
      <c r="C29">
        <v>4</v>
      </c>
      <c r="E29" s="44">
        <v>14</v>
      </c>
      <c r="F29" s="45">
        <f>F28+$I$12</f>
        <v>316</v>
      </c>
      <c r="G29" s="32" t="str">
        <f>INDEX(MATRIZ!B:B,F29+1)</f>
        <v>FERNANDEZ PEREZ ITANIEL</v>
      </c>
      <c r="H29" s="45">
        <f>INDEX(MATRIZ!C:C,F29+1)</f>
        <v>1</v>
      </c>
    </row>
    <row r="30" spans="1:8" x14ac:dyDescent="0.25">
      <c r="A30">
        <v>29</v>
      </c>
      <c r="B30" t="s">
        <v>73</v>
      </c>
      <c r="C30">
        <v>3</v>
      </c>
      <c r="E30" s="44">
        <v>15</v>
      </c>
      <c r="F30" s="45">
        <f>F29+$I$12</f>
        <v>339</v>
      </c>
      <c r="G30" s="32" t="str">
        <f>INDEX(MATRIZ!B:B,F30+1)</f>
        <v>EXTINTORES ANEL EIRL</v>
      </c>
      <c r="H30" s="45">
        <f>INDEX(MATRIZ!C:C,F30+1)</f>
        <v>1</v>
      </c>
    </row>
    <row r="31" spans="1:8" x14ac:dyDescent="0.25">
      <c r="A31">
        <v>30</v>
      </c>
      <c r="B31" t="s">
        <v>74</v>
      </c>
      <c r="C31">
        <v>1</v>
      </c>
      <c r="E31" s="44">
        <v>16</v>
      </c>
      <c r="F31" s="45">
        <f>F30+$I$12</f>
        <v>362</v>
      </c>
      <c r="G31" s="32" t="str">
        <f>INDEX(MATRIZ!B:B,F31+1)</f>
        <v>J &amp; P DISTRIBUIDORES SAC</v>
      </c>
      <c r="H31" s="45">
        <f>INDEX(MATRIZ!C:C,F31+1)</f>
        <v>1</v>
      </c>
    </row>
    <row r="32" spans="1:8" x14ac:dyDescent="0.25">
      <c r="A32">
        <v>31</v>
      </c>
      <c r="B32" t="s">
        <v>75</v>
      </c>
      <c r="C32">
        <v>4</v>
      </c>
      <c r="E32" s="44">
        <v>17</v>
      </c>
      <c r="F32" s="45">
        <f>F31+$I$12</f>
        <v>385</v>
      </c>
      <c r="G32" s="32" t="str">
        <f>INDEX(MATRIZ!B:B,F32+1)</f>
        <v>FERRETERIA J &amp; S SAC</v>
      </c>
      <c r="H32" s="45">
        <f>INDEX(MATRIZ!C:C,F32+1)</f>
        <v>1</v>
      </c>
    </row>
    <row r="33" spans="1:8" x14ac:dyDescent="0.25">
      <c r="A33">
        <v>32</v>
      </c>
      <c r="B33" t="s">
        <v>76</v>
      </c>
      <c r="C33">
        <v>1</v>
      </c>
      <c r="E33" s="44">
        <v>18</v>
      </c>
      <c r="F33" s="45">
        <f>F32+$I$12</f>
        <v>408</v>
      </c>
      <c r="G33" s="32" t="str">
        <f>INDEX(MATRIZ!B:B,F33+1)</f>
        <v>VASQUEZ PALOMINO BLANCA</v>
      </c>
      <c r="H33" s="45">
        <f>INDEX(MATRIZ!C:C,F33+1)</f>
        <v>5</v>
      </c>
    </row>
    <row r="34" spans="1:8" x14ac:dyDescent="0.25">
      <c r="A34">
        <v>33</v>
      </c>
      <c r="B34" t="s">
        <v>77</v>
      </c>
      <c r="C34">
        <v>3</v>
      </c>
      <c r="E34" s="44">
        <v>19</v>
      </c>
      <c r="F34" s="45">
        <f>F33+$I$12</f>
        <v>431</v>
      </c>
      <c r="G34" s="32" t="str">
        <f>INDEX(MATRIZ!B:B,F34+1)</f>
        <v>ALVAS'S HOSTAL EIRL</v>
      </c>
      <c r="H34" s="45">
        <f>INDEX(MATRIZ!C:C,F34+1)</f>
        <v>4</v>
      </c>
    </row>
    <row r="35" spans="1:8" x14ac:dyDescent="0.25">
      <c r="A35">
        <v>34</v>
      </c>
      <c r="B35" t="s">
        <v>78</v>
      </c>
      <c r="C35">
        <v>4</v>
      </c>
      <c r="E35" s="44">
        <v>20</v>
      </c>
      <c r="F35" s="45">
        <f>F34+$I$12</f>
        <v>454</v>
      </c>
      <c r="G35" s="32" t="str">
        <f>INDEX(MATRIZ!B:B,F35+1)</f>
        <v>MULTIPRODUCTOS BELEN SCRL</v>
      </c>
      <c r="H35" s="45">
        <f>INDEX(MATRIZ!C:C,F35+1)</f>
        <v>1</v>
      </c>
    </row>
    <row r="36" spans="1:8" x14ac:dyDescent="0.25">
      <c r="A36">
        <v>35</v>
      </c>
      <c r="B36" t="s">
        <v>79</v>
      </c>
      <c r="C36">
        <v>1</v>
      </c>
      <c r="E36" s="44">
        <v>21</v>
      </c>
      <c r="F36" s="45">
        <f>F35+$I$12</f>
        <v>477</v>
      </c>
      <c r="G36" s="32" t="str">
        <f>INDEX(MATRIZ!B:B,F36+1)</f>
        <v>LA GENEROSA SERVICIOS GENERALES SRL</v>
      </c>
      <c r="H36" s="45">
        <f>INDEX(MATRIZ!C:C,F36+1)</f>
        <v>4</v>
      </c>
    </row>
    <row r="37" spans="1:8" x14ac:dyDescent="0.25">
      <c r="A37">
        <v>36</v>
      </c>
      <c r="B37" t="s">
        <v>80</v>
      </c>
      <c r="C37">
        <v>2</v>
      </c>
      <c r="E37" s="44">
        <v>22</v>
      </c>
      <c r="F37" s="45">
        <f>F36+$I$12</f>
        <v>500</v>
      </c>
      <c r="G37" s="32" t="str">
        <f>INDEX(MATRIZ!B:B,F37+1)</f>
        <v>CAYSAHUANA PEREZ VIRGINIA</v>
      </c>
      <c r="H37" s="45">
        <f>INDEX(MATRIZ!C:C,F37+1)</f>
        <v>1</v>
      </c>
    </row>
    <row r="38" spans="1:8" x14ac:dyDescent="0.25">
      <c r="A38">
        <v>37</v>
      </c>
      <c r="B38" t="s">
        <v>81</v>
      </c>
      <c r="C38">
        <v>1</v>
      </c>
      <c r="E38" s="44">
        <v>23</v>
      </c>
      <c r="F38" s="45">
        <f>F37+$I$12</f>
        <v>523</v>
      </c>
      <c r="G38" s="32" t="str">
        <f>INDEX(MATRIZ!B:B,F38+1)</f>
        <v>MIRANDA CACERES NATIVIDAD</v>
      </c>
      <c r="H38" s="45">
        <f>INDEX(MATRIZ!C:C,F38+1)</f>
        <v>1</v>
      </c>
    </row>
    <row r="39" spans="1:8" x14ac:dyDescent="0.25">
      <c r="A39">
        <v>38</v>
      </c>
      <c r="B39" t="s">
        <v>82</v>
      </c>
      <c r="C39">
        <v>5</v>
      </c>
      <c r="E39" s="44">
        <v>24</v>
      </c>
      <c r="F39" s="45">
        <f>F38+$I$12</f>
        <v>546</v>
      </c>
      <c r="G39" s="32" t="str">
        <f>INDEX(MATRIZ!B:B,F39+1)</f>
        <v>ARASA PERU SAC</v>
      </c>
      <c r="H39" s="45">
        <f>INDEX(MATRIZ!C:C,F39+1)</f>
        <v>3</v>
      </c>
    </row>
    <row r="40" spans="1:8" x14ac:dyDescent="0.25">
      <c r="A40">
        <v>39</v>
      </c>
      <c r="B40" t="s">
        <v>83</v>
      </c>
      <c r="C40">
        <v>2</v>
      </c>
      <c r="E40" s="44">
        <v>25</v>
      </c>
      <c r="F40" s="45">
        <f>F39+$I$12</f>
        <v>569</v>
      </c>
      <c r="G40" s="32" t="str">
        <f>INDEX(MATRIZ!B:B,F40+1)</f>
        <v>MAESTRYLZ EIRL</v>
      </c>
      <c r="H40" s="45">
        <f>INDEX(MATRIZ!C:C,F40+1)</f>
        <v>1</v>
      </c>
    </row>
    <row r="41" spans="1:8" x14ac:dyDescent="0.25">
      <c r="A41">
        <v>40</v>
      </c>
      <c r="B41" t="s">
        <v>84</v>
      </c>
      <c r="C41">
        <v>3</v>
      </c>
      <c r="E41" s="44">
        <v>26</v>
      </c>
      <c r="F41" s="45">
        <f>F40+$I$12</f>
        <v>592</v>
      </c>
      <c r="G41" s="32" t="str">
        <f>INDEX(MATRIZ!B:B,F41+1)</f>
        <v>HUACCACHI CHANCAS CARLOS ALFREDO</v>
      </c>
      <c r="H41" s="45">
        <f>INDEX(MATRIZ!C:C,F41+1)</f>
        <v>1</v>
      </c>
    </row>
    <row r="42" spans="1:8" x14ac:dyDescent="0.25">
      <c r="A42">
        <v>41</v>
      </c>
      <c r="B42" t="s">
        <v>85</v>
      </c>
      <c r="C42">
        <v>1</v>
      </c>
      <c r="E42" s="44">
        <v>27</v>
      </c>
      <c r="F42" s="45">
        <f>F41+$I$12</f>
        <v>615</v>
      </c>
      <c r="G42" s="32" t="str">
        <f>INDEX(MATRIZ!B:B,F42+1)</f>
        <v>PEÑA SANCHEZ JOHNNY AQUILES</v>
      </c>
      <c r="H42" s="45">
        <f>INDEX(MATRIZ!C:C,F42+1)</f>
        <v>1</v>
      </c>
    </row>
    <row r="43" spans="1:8" x14ac:dyDescent="0.25">
      <c r="A43">
        <v>42</v>
      </c>
      <c r="B43" t="s">
        <v>86</v>
      </c>
      <c r="C43">
        <v>1</v>
      </c>
      <c r="E43" s="44">
        <v>28</v>
      </c>
      <c r="F43" s="45">
        <f>F42+$I$12</f>
        <v>638</v>
      </c>
      <c r="G43" s="32" t="str">
        <f>INDEX(MATRIZ!B:B,F43+1)</f>
        <v>INSUMOS Y FORRAJES EIRL</v>
      </c>
      <c r="H43" s="45">
        <f>INDEX(MATRIZ!C:C,F43+1)</f>
        <v>1</v>
      </c>
    </row>
    <row r="44" spans="1:8" x14ac:dyDescent="0.25">
      <c r="A44">
        <v>43</v>
      </c>
      <c r="B44" t="s">
        <v>87</v>
      </c>
      <c r="C44">
        <v>1</v>
      </c>
      <c r="E44" s="44">
        <v>29</v>
      </c>
      <c r="F44" s="45">
        <f>F43+$I$12</f>
        <v>661</v>
      </c>
      <c r="G44" s="32" t="str">
        <f>INDEX(MATRIZ!B:B,F44+1)</f>
        <v>CCOTO TUNQUI PERCY</v>
      </c>
      <c r="H44" s="45">
        <f>INDEX(MATRIZ!C:C,F44+1)</f>
        <v>1</v>
      </c>
    </row>
    <row r="45" spans="1:8" x14ac:dyDescent="0.25">
      <c r="A45">
        <v>44</v>
      </c>
      <c r="B45" t="s">
        <v>88</v>
      </c>
      <c r="C45">
        <v>1</v>
      </c>
      <c r="E45" s="44">
        <v>30</v>
      </c>
      <c r="F45" s="45">
        <f>F44+$I$12</f>
        <v>684</v>
      </c>
      <c r="G45" s="32" t="str">
        <f>INDEX(MATRIZ!B:B,F45+1)</f>
        <v>ZOOFARMA PERU SAC</v>
      </c>
      <c r="H45" s="45">
        <f>INDEX(MATRIZ!C:C,F45+1)</f>
        <v>1</v>
      </c>
    </row>
    <row r="46" spans="1:8" x14ac:dyDescent="0.25">
      <c r="A46">
        <v>45</v>
      </c>
      <c r="B46" t="s">
        <v>89</v>
      </c>
      <c r="C46">
        <v>1</v>
      </c>
      <c r="E46" s="44">
        <v>31</v>
      </c>
      <c r="F46" s="45">
        <f>F45+$I$12</f>
        <v>707</v>
      </c>
      <c r="G46" s="32" t="str">
        <f>INDEX(MATRIZ!B:B,F46+1)</f>
        <v>CALZATURE ALHELI SAC</v>
      </c>
      <c r="H46" s="45">
        <f>INDEX(MATRIZ!C:C,F46+1)</f>
        <v>2</v>
      </c>
    </row>
    <row r="47" spans="1:8" x14ac:dyDescent="0.25">
      <c r="A47">
        <v>46</v>
      </c>
      <c r="B47" t="s">
        <v>90</v>
      </c>
      <c r="C47">
        <v>1</v>
      </c>
      <c r="E47" s="44">
        <v>32</v>
      </c>
      <c r="F47" s="45">
        <f>F46+$I$12</f>
        <v>730</v>
      </c>
      <c r="G47" s="32" t="str">
        <f>INDEX(MATRIZ!B:B,F47+1)</f>
        <v>MYAFEST EIRL</v>
      </c>
      <c r="H47" s="45">
        <f>INDEX(MATRIZ!C:C,F47+1)</f>
        <v>6</v>
      </c>
    </row>
    <row r="48" spans="1:8" x14ac:dyDescent="0.25">
      <c r="A48">
        <v>47</v>
      </c>
      <c r="B48" t="s">
        <v>91</v>
      </c>
      <c r="C48">
        <v>1</v>
      </c>
      <c r="E48" s="44">
        <v>33</v>
      </c>
      <c r="F48" s="45">
        <f>F47+$I$12</f>
        <v>753</v>
      </c>
      <c r="G48" s="32" t="str">
        <f>INDEX(MATRIZ!B:B,F48+1)</f>
        <v>JAKE CONTRATISTAS GENERALES SOCIEDAD ANO NIMA CERRADA</v>
      </c>
      <c r="H48" s="45">
        <f>INDEX(MATRIZ!C:C,F48+1)</f>
        <v>2</v>
      </c>
    </row>
    <row r="49" spans="1:8" x14ac:dyDescent="0.25">
      <c r="A49">
        <v>48</v>
      </c>
      <c r="B49" t="s">
        <v>92</v>
      </c>
      <c r="C49">
        <v>6</v>
      </c>
      <c r="E49" s="44">
        <v>34</v>
      </c>
      <c r="F49" s="45">
        <f>F48+$I$12</f>
        <v>776</v>
      </c>
      <c r="G49" s="32" t="str">
        <f>INDEX(MATRIZ!B:B,F49+1)</f>
        <v>COMERCIAL LIA SRL</v>
      </c>
      <c r="H49" s="45">
        <f>INDEX(MATRIZ!C:C,F49+1)</f>
        <v>1</v>
      </c>
    </row>
    <row r="50" spans="1:8" x14ac:dyDescent="0.25">
      <c r="A50">
        <v>49</v>
      </c>
      <c r="B50" t="s">
        <v>93</v>
      </c>
      <c r="C50">
        <v>2</v>
      </c>
      <c r="E50" s="44">
        <v>35</v>
      </c>
      <c r="F50" s="45">
        <f>F49+$I$12</f>
        <v>799</v>
      </c>
      <c r="G50" s="32" t="str">
        <f>INDEX(MATRIZ!B:B,F50+1)</f>
        <v>PLASTICOS V EIRL</v>
      </c>
      <c r="H50" s="45">
        <f>INDEX(MATRIZ!C:C,F50+1)</f>
        <v>1</v>
      </c>
    </row>
    <row r="51" spans="1:8" x14ac:dyDescent="0.25">
      <c r="A51">
        <v>50</v>
      </c>
      <c r="B51" t="s">
        <v>94</v>
      </c>
      <c r="C51">
        <v>6</v>
      </c>
      <c r="E51" s="44">
        <v>36</v>
      </c>
      <c r="F51" s="45">
        <f>F50+$I$12</f>
        <v>822</v>
      </c>
      <c r="G51" s="32" t="str">
        <f>INDEX(MATRIZ!B:B,F51+1)</f>
        <v>DEPOSITO MELYSA EIRL</v>
      </c>
      <c r="H51" s="45">
        <f>INDEX(MATRIZ!C:C,F51+1)</f>
        <v>1</v>
      </c>
    </row>
    <row r="52" spans="1:8" x14ac:dyDescent="0.25">
      <c r="A52">
        <v>51</v>
      </c>
      <c r="B52" t="s">
        <v>95</v>
      </c>
      <c r="C52">
        <v>2</v>
      </c>
      <c r="E52" s="44">
        <v>37</v>
      </c>
      <c r="F52" s="45">
        <f>F51+$I$12</f>
        <v>845</v>
      </c>
      <c r="G52" s="32" t="str">
        <f>INDEX(MATRIZ!B:B,F52+1)</f>
        <v>SALAZAR LAZARTE JUAN LUIS</v>
      </c>
      <c r="H52" s="45">
        <f>INDEX(MATRIZ!C:C,F52+1)</f>
        <v>5</v>
      </c>
    </row>
    <row r="53" spans="1:8" x14ac:dyDescent="0.25">
      <c r="A53">
        <v>52</v>
      </c>
      <c r="B53" t="s">
        <v>96</v>
      </c>
      <c r="C53">
        <v>2</v>
      </c>
      <c r="E53" s="44">
        <v>38</v>
      </c>
      <c r="F53" s="45">
        <f>F52+$I$12</f>
        <v>868</v>
      </c>
      <c r="G53" s="32" t="str">
        <f>INDEX(MATRIZ!B:B,F53+1)</f>
        <v>RUIZ CIEZA NELLY</v>
      </c>
      <c r="H53" s="45">
        <f>INDEX(MATRIZ!C:C,F53+1)</f>
        <v>1</v>
      </c>
    </row>
    <row r="54" spans="1:8" x14ac:dyDescent="0.25">
      <c r="A54">
        <v>53</v>
      </c>
      <c r="B54" t="s">
        <v>97</v>
      </c>
      <c r="C54">
        <v>6</v>
      </c>
      <c r="E54" s="44">
        <v>39</v>
      </c>
      <c r="F54" s="45">
        <f>F53+$I$12</f>
        <v>891</v>
      </c>
      <c r="G54" s="32" t="str">
        <f>INDEX(MATRIZ!B:B,F54+1)</f>
        <v>DISCOPLAST SAC</v>
      </c>
      <c r="H54" s="45">
        <f>INDEX(MATRIZ!C:C,F54+1)</f>
        <v>1</v>
      </c>
    </row>
    <row r="55" spans="1:8" x14ac:dyDescent="0.25">
      <c r="A55">
        <v>54</v>
      </c>
      <c r="B55" t="s">
        <v>98</v>
      </c>
      <c r="C55">
        <v>1</v>
      </c>
      <c r="E55" s="44">
        <v>40</v>
      </c>
      <c r="F55" s="45">
        <f>F54+$I$12</f>
        <v>914</v>
      </c>
      <c r="G55" s="32" t="str">
        <f>INDEX(MATRIZ!B:B,F55+1)</f>
        <v>BLANCO CARUAJULCA BERTILA</v>
      </c>
      <c r="H55" s="45">
        <f>INDEX(MATRIZ!C:C,F55+1)</f>
        <v>5</v>
      </c>
    </row>
    <row r="56" spans="1:8" x14ac:dyDescent="0.25">
      <c r="A56">
        <v>55</v>
      </c>
      <c r="B56" t="s">
        <v>99</v>
      </c>
      <c r="C56">
        <v>3</v>
      </c>
      <c r="E56" s="44">
        <v>41</v>
      </c>
      <c r="F56" s="45">
        <f>F55+$I$12</f>
        <v>937</v>
      </c>
      <c r="G56" s="32" t="str">
        <f>INDEX(MATRIZ!B:B,F56+1)</f>
        <v>LAURA VILCA LUZ MARINA</v>
      </c>
      <c r="H56" s="45">
        <f>INDEX(MATRIZ!C:C,F56+1)</f>
        <v>1</v>
      </c>
    </row>
    <row r="57" spans="1:8" x14ac:dyDescent="0.25">
      <c r="A57">
        <v>56</v>
      </c>
      <c r="B57" t="s">
        <v>100</v>
      </c>
      <c r="C57">
        <v>1</v>
      </c>
      <c r="E57" s="44">
        <v>42</v>
      </c>
      <c r="F57" s="45">
        <f>F56+$I$12</f>
        <v>960</v>
      </c>
      <c r="G57" s="32" t="str">
        <f>INDEX(MATRIZ!B:B,F57+1)</f>
        <v>RICRA PILCO MARIBEL</v>
      </c>
      <c r="H57" s="45">
        <f>INDEX(MATRIZ!C:C,F57+1)</f>
        <v>1</v>
      </c>
    </row>
    <row r="58" spans="1:8" x14ac:dyDescent="0.25">
      <c r="A58">
        <v>57</v>
      </c>
      <c r="B58" t="s">
        <v>101</v>
      </c>
      <c r="C58">
        <v>3</v>
      </c>
      <c r="E58" s="44">
        <v>43</v>
      </c>
      <c r="F58" s="45">
        <f>F57+$I$12</f>
        <v>983</v>
      </c>
      <c r="G58" s="32" t="str">
        <f>INDEX(MATRIZ!B:B,F58+1)</f>
        <v>CORPORACION SADCITEC SAC</v>
      </c>
      <c r="H58" s="45">
        <f>INDEX(MATRIZ!C:C,F58+1)</f>
        <v>1</v>
      </c>
    </row>
    <row r="59" spans="1:8" x14ac:dyDescent="0.25">
      <c r="A59">
        <v>58</v>
      </c>
      <c r="B59" t="s">
        <v>102</v>
      </c>
      <c r="C59">
        <v>6</v>
      </c>
      <c r="E59" s="44">
        <v>44</v>
      </c>
      <c r="F59" s="45">
        <f>F58+$I$12</f>
        <v>1006</v>
      </c>
      <c r="G59" s="32" t="str">
        <f>INDEX(MATRIZ!B:B,F59+1)</f>
        <v>JAIMES CASTRO JUSTO GERMAN</v>
      </c>
      <c r="H59" s="45">
        <f>INDEX(MATRIZ!C:C,F59+1)</f>
        <v>1</v>
      </c>
    </row>
    <row r="60" spans="1:8" x14ac:dyDescent="0.25">
      <c r="A60">
        <v>59</v>
      </c>
      <c r="B60" t="s">
        <v>103</v>
      </c>
      <c r="C60">
        <v>4</v>
      </c>
      <c r="E60" s="44">
        <v>45</v>
      </c>
      <c r="F60" s="45">
        <f>F59+$I$12</f>
        <v>1029</v>
      </c>
      <c r="G60" s="32" t="str">
        <f>INDEX(MATRIZ!B:B,F60+1)</f>
        <v>DIAZ PEREZ YOMER JAMER</v>
      </c>
      <c r="H60" s="45">
        <f>INDEX(MATRIZ!C:C,F60+1)</f>
        <v>1</v>
      </c>
    </row>
    <row r="61" spans="1:8" x14ac:dyDescent="0.25">
      <c r="A61">
        <v>60</v>
      </c>
      <c r="B61" t="s">
        <v>104</v>
      </c>
      <c r="C61">
        <v>2</v>
      </c>
      <c r="E61" s="44">
        <v>46</v>
      </c>
      <c r="F61" s="45">
        <f>F60+$I$12</f>
        <v>1052</v>
      </c>
      <c r="G61" s="32" t="str">
        <f>INDEX(MATRIZ!B:B,F61+1)</f>
        <v>SANCHEZ QUISPE JORGE</v>
      </c>
      <c r="H61" s="45">
        <f>INDEX(MATRIZ!C:C,F61+1)</f>
        <v>1</v>
      </c>
    </row>
    <row r="62" spans="1:8" x14ac:dyDescent="0.25">
      <c r="A62">
        <v>61</v>
      </c>
      <c r="B62" t="s">
        <v>105</v>
      </c>
      <c r="C62">
        <v>1</v>
      </c>
      <c r="E62" s="44">
        <v>47</v>
      </c>
      <c r="F62" s="45">
        <f>F61+$I$12</f>
        <v>1075</v>
      </c>
      <c r="G62" s="32" t="str">
        <f>INDEX(MATRIZ!B:B,F62+1)</f>
        <v>INDUSTRIA CARDUCCI SAC</v>
      </c>
      <c r="H62" s="45">
        <f>INDEX(MATRIZ!C:C,F62+1)</f>
        <v>2</v>
      </c>
    </row>
    <row r="63" spans="1:8" x14ac:dyDescent="0.25">
      <c r="A63">
        <v>62</v>
      </c>
      <c r="B63" t="s">
        <v>106</v>
      </c>
      <c r="C63">
        <v>1</v>
      </c>
      <c r="E63" s="44">
        <v>48</v>
      </c>
      <c r="F63" s="45">
        <f>F62+$I$12</f>
        <v>1098</v>
      </c>
      <c r="G63" s="32" t="str">
        <f>INDEX(MATRIZ!B:B,F63+1)</f>
        <v>SCANER SAC</v>
      </c>
      <c r="H63" s="45">
        <f>INDEX(MATRIZ!C:C,F63+1)</f>
        <v>1</v>
      </c>
    </row>
    <row r="64" spans="1:8" x14ac:dyDescent="0.25">
      <c r="A64">
        <v>63</v>
      </c>
      <c r="B64" t="s">
        <v>107</v>
      </c>
      <c r="C64">
        <v>1</v>
      </c>
      <c r="E64" s="44">
        <v>49</v>
      </c>
      <c r="F64" s="45">
        <f>F63+$I$12</f>
        <v>1121</v>
      </c>
      <c r="G64" s="32" t="str">
        <f>INDEX(MATRIZ!B:B,F64+1)</f>
        <v>HERRERA CONDORI BRENDA HELEN</v>
      </c>
      <c r="H64" s="45">
        <f>INDEX(MATRIZ!C:C,F64+1)</f>
        <v>1</v>
      </c>
    </row>
    <row r="65" spans="1:8" x14ac:dyDescent="0.25">
      <c r="A65">
        <v>64</v>
      </c>
      <c r="B65" t="s">
        <v>108</v>
      </c>
      <c r="C65">
        <v>1</v>
      </c>
      <c r="E65" s="44">
        <v>50</v>
      </c>
      <c r="F65" s="45">
        <f>F64+$I$12</f>
        <v>1144</v>
      </c>
      <c r="G65" s="32" t="str">
        <f>INDEX(MATRIZ!B:B,F65+1)</f>
        <v>MUÑOZ HIDALGO MARCELINO</v>
      </c>
      <c r="H65" s="45">
        <f>INDEX(MATRIZ!C:C,F65+1)</f>
        <v>4</v>
      </c>
    </row>
    <row r="66" spans="1:8" x14ac:dyDescent="0.25">
      <c r="A66">
        <v>65</v>
      </c>
      <c r="B66" t="s">
        <v>109</v>
      </c>
      <c r="C66">
        <v>5</v>
      </c>
      <c r="E66" s="44">
        <v>51</v>
      </c>
      <c r="F66" s="45">
        <f>F65+$I$12</f>
        <v>1167</v>
      </c>
      <c r="G66" s="32" t="str">
        <f>INDEX(MATRIZ!B:B,F66+1)</f>
        <v>RECTIFICACIONES DAVID SAC</v>
      </c>
      <c r="H66" s="45">
        <f>INDEX(MATRIZ!C:C,F66+1)</f>
        <v>2</v>
      </c>
    </row>
    <row r="67" spans="1:8" x14ac:dyDescent="0.25">
      <c r="A67">
        <v>66</v>
      </c>
      <c r="B67" t="s">
        <v>110</v>
      </c>
      <c r="C67">
        <v>1</v>
      </c>
      <c r="E67" s="44">
        <v>52</v>
      </c>
      <c r="F67" s="45">
        <f>F66+$I$12</f>
        <v>1190</v>
      </c>
      <c r="G67" s="32" t="str">
        <f>INDEX(MATRIZ!B:B,F67+1)</f>
        <v>QUIO USCAMAYTA CESAR FELIPE</v>
      </c>
      <c r="H67" s="45">
        <f>INDEX(MATRIZ!C:C,F67+1)</f>
        <v>1</v>
      </c>
    </row>
    <row r="68" spans="1:3" x14ac:dyDescent="0.25">
      <c r="A68">
        <v>67</v>
      </c>
      <c r="B68" t="s">
        <v>111</v>
      </c>
      <c r="C68">
        <v>1</v>
      </c>
    </row>
    <row r="69" spans="1:3" x14ac:dyDescent="0.25">
      <c r="A69">
        <v>68</v>
      </c>
      <c r="B69" t="s">
        <v>112</v>
      </c>
      <c r="C69">
        <v>2</v>
      </c>
    </row>
    <row r="70" spans="1:3" x14ac:dyDescent="0.25">
      <c r="A70">
        <v>69</v>
      </c>
      <c r="B70" t="s">
        <v>113</v>
      </c>
      <c r="C70">
        <v>2</v>
      </c>
    </row>
    <row r="71" spans="1:3" x14ac:dyDescent="0.25">
      <c r="A71">
        <v>70</v>
      </c>
      <c r="B71" t="s">
        <v>114</v>
      </c>
      <c r="C71">
        <v>1</v>
      </c>
    </row>
    <row r="72" spans="1:3" x14ac:dyDescent="0.25">
      <c r="A72">
        <v>71</v>
      </c>
      <c r="B72" t="s">
        <v>115</v>
      </c>
      <c r="C72">
        <v>5</v>
      </c>
    </row>
    <row r="73" spans="1:3" x14ac:dyDescent="0.25">
      <c r="A73">
        <v>72</v>
      </c>
      <c r="B73" t="s">
        <v>116</v>
      </c>
      <c r="C73">
        <v>1</v>
      </c>
    </row>
    <row r="74" spans="1:3" x14ac:dyDescent="0.25">
      <c r="A74">
        <v>73</v>
      </c>
      <c r="B74" t="s">
        <v>117</v>
      </c>
      <c r="C74">
        <v>5</v>
      </c>
    </row>
    <row r="75" spans="1:3" x14ac:dyDescent="0.25">
      <c r="A75">
        <v>74</v>
      </c>
      <c r="B75" t="s">
        <v>118</v>
      </c>
      <c r="C75">
        <v>3</v>
      </c>
    </row>
    <row r="76" spans="1:3" x14ac:dyDescent="0.25">
      <c r="A76">
        <v>75</v>
      </c>
      <c r="B76" t="s">
        <v>119</v>
      </c>
      <c r="C76">
        <v>1</v>
      </c>
    </row>
    <row r="77" spans="1:3" x14ac:dyDescent="0.25">
      <c r="A77">
        <v>76</v>
      </c>
      <c r="B77" t="s">
        <v>120</v>
      </c>
      <c r="C77">
        <v>1</v>
      </c>
    </row>
    <row r="78" spans="1:3" x14ac:dyDescent="0.25">
      <c r="A78">
        <v>77</v>
      </c>
      <c r="B78" t="s">
        <v>121</v>
      </c>
      <c r="C78">
        <v>1</v>
      </c>
    </row>
    <row r="79" spans="1:3" x14ac:dyDescent="0.25">
      <c r="A79">
        <v>78</v>
      </c>
      <c r="B79" t="s">
        <v>122</v>
      </c>
      <c r="C79">
        <v>1</v>
      </c>
    </row>
    <row r="80" spans="1:3" x14ac:dyDescent="0.25">
      <c r="A80">
        <v>79</v>
      </c>
      <c r="B80" t="s">
        <v>123</v>
      </c>
      <c r="C80">
        <v>4</v>
      </c>
    </row>
    <row r="81" spans="1:3" x14ac:dyDescent="0.25">
      <c r="A81">
        <v>80</v>
      </c>
      <c r="B81" t="s">
        <v>124</v>
      </c>
      <c r="C81">
        <v>5</v>
      </c>
    </row>
    <row r="82" spans="1:3" x14ac:dyDescent="0.25">
      <c r="A82">
        <v>81</v>
      </c>
      <c r="B82" t="s">
        <v>125</v>
      </c>
      <c r="C82">
        <v>1</v>
      </c>
    </row>
    <row r="83" spans="1:3" x14ac:dyDescent="0.25">
      <c r="A83">
        <v>82</v>
      </c>
      <c r="B83" t="s">
        <v>126</v>
      </c>
      <c r="C83">
        <v>4</v>
      </c>
    </row>
    <row r="84" spans="1:3" x14ac:dyDescent="0.25">
      <c r="A84">
        <v>83</v>
      </c>
      <c r="B84" t="s">
        <v>127</v>
      </c>
      <c r="C84">
        <v>1</v>
      </c>
    </row>
    <row r="85" spans="1:3" x14ac:dyDescent="0.25">
      <c r="A85">
        <v>84</v>
      </c>
      <c r="B85" t="s">
        <v>128</v>
      </c>
      <c r="C85">
        <v>6</v>
      </c>
    </row>
    <row r="86" spans="1:3" x14ac:dyDescent="0.25">
      <c r="A86">
        <v>85</v>
      </c>
      <c r="B86" t="s">
        <v>129</v>
      </c>
      <c r="C86">
        <v>1</v>
      </c>
    </row>
    <row r="87" spans="1:3" x14ac:dyDescent="0.25">
      <c r="A87">
        <v>86</v>
      </c>
      <c r="B87" t="s">
        <v>130</v>
      </c>
      <c r="C87">
        <v>2</v>
      </c>
    </row>
    <row r="88" spans="1:3" x14ac:dyDescent="0.25">
      <c r="A88">
        <v>87</v>
      </c>
      <c r="B88" t="s">
        <v>131</v>
      </c>
      <c r="C88">
        <v>5</v>
      </c>
    </row>
    <row r="89" spans="1:3" x14ac:dyDescent="0.25">
      <c r="A89">
        <v>88</v>
      </c>
      <c r="B89" t="s">
        <v>132</v>
      </c>
      <c r="C89">
        <v>2</v>
      </c>
    </row>
    <row r="90" spans="1:3" x14ac:dyDescent="0.25">
      <c r="A90">
        <v>89</v>
      </c>
      <c r="B90" t="s">
        <v>133</v>
      </c>
      <c r="C90">
        <v>1</v>
      </c>
    </row>
    <row r="91" spans="1:3" x14ac:dyDescent="0.25">
      <c r="A91">
        <v>90</v>
      </c>
      <c r="B91" t="s">
        <v>134</v>
      </c>
      <c r="C91">
        <v>4</v>
      </c>
    </row>
    <row r="92" spans="1:3" x14ac:dyDescent="0.25">
      <c r="A92">
        <v>91</v>
      </c>
      <c r="B92" t="s">
        <v>135</v>
      </c>
      <c r="C92">
        <v>2</v>
      </c>
    </row>
    <row r="93" spans="1:3" x14ac:dyDescent="0.25">
      <c r="A93">
        <v>92</v>
      </c>
      <c r="B93" t="s">
        <v>136</v>
      </c>
      <c r="C93">
        <v>2</v>
      </c>
    </row>
    <row r="94" spans="1:3" x14ac:dyDescent="0.25">
      <c r="A94">
        <v>93</v>
      </c>
      <c r="B94" t="s">
        <v>137</v>
      </c>
      <c r="C94">
        <v>6</v>
      </c>
    </row>
    <row r="95" spans="1:3" x14ac:dyDescent="0.25">
      <c r="A95">
        <v>94</v>
      </c>
      <c r="B95" t="s">
        <v>138</v>
      </c>
      <c r="C95">
        <v>1</v>
      </c>
    </row>
    <row r="96" spans="1:3" x14ac:dyDescent="0.25">
      <c r="A96">
        <v>95</v>
      </c>
      <c r="B96" t="s">
        <v>139</v>
      </c>
      <c r="C96">
        <v>2</v>
      </c>
    </row>
    <row r="97" spans="1:3" x14ac:dyDescent="0.25">
      <c r="A97">
        <v>96</v>
      </c>
      <c r="B97" t="s">
        <v>140</v>
      </c>
      <c r="C97">
        <v>2</v>
      </c>
    </row>
    <row r="98" spans="1:3" x14ac:dyDescent="0.25">
      <c r="A98">
        <v>97</v>
      </c>
      <c r="B98" t="s">
        <v>141</v>
      </c>
      <c r="C98">
        <v>4</v>
      </c>
    </row>
    <row r="99" spans="1:3" x14ac:dyDescent="0.25">
      <c r="A99">
        <v>98</v>
      </c>
      <c r="B99" t="s">
        <v>142</v>
      </c>
      <c r="C99">
        <v>6</v>
      </c>
    </row>
    <row r="100" spans="1:3" x14ac:dyDescent="0.25">
      <c r="A100">
        <v>99</v>
      </c>
      <c r="B100" t="s">
        <v>143</v>
      </c>
      <c r="C100">
        <v>1</v>
      </c>
    </row>
    <row r="101" spans="1:3" x14ac:dyDescent="0.25">
      <c r="A101">
        <v>100</v>
      </c>
      <c r="B101" t="s">
        <v>144</v>
      </c>
      <c r="C101">
        <v>1</v>
      </c>
    </row>
    <row r="102" spans="1:3" x14ac:dyDescent="0.25">
      <c r="A102">
        <v>101</v>
      </c>
      <c r="B102" t="s">
        <v>145</v>
      </c>
      <c r="C102">
        <v>2</v>
      </c>
    </row>
    <row r="103" spans="1:3" x14ac:dyDescent="0.25">
      <c r="A103">
        <v>102</v>
      </c>
      <c r="B103" t="s">
        <v>146</v>
      </c>
      <c r="C103">
        <v>2</v>
      </c>
    </row>
    <row r="104" spans="1:3" x14ac:dyDescent="0.25">
      <c r="A104">
        <v>103</v>
      </c>
      <c r="B104" t="s">
        <v>147</v>
      </c>
      <c r="C104">
        <v>1</v>
      </c>
    </row>
    <row r="105" spans="1:3" x14ac:dyDescent="0.25">
      <c r="A105">
        <v>104</v>
      </c>
      <c r="B105" t="s">
        <v>148</v>
      </c>
      <c r="C105">
        <v>5</v>
      </c>
    </row>
    <row r="106" spans="1:3" x14ac:dyDescent="0.25">
      <c r="A106">
        <v>105</v>
      </c>
      <c r="B106" t="s">
        <v>149</v>
      </c>
      <c r="C106">
        <v>1</v>
      </c>
    </row>
    <row r="107" spans="1:3" x14ac:dyDescent="0.25">
      <c r="A107">
        <v>106</v>
      </c>
      <c r="B107" t="s">
        <v>150</v>
      </c>
      <c r="C107">
        <v>1</v>
      </c>
    </row>
    <row r="108" spans="1:3" x14ac:dyDescent="0.25">
      <c r="A108">
        <v>107</v>
      </c>
      <c r="B108" t="s">
        <v>151</v>
      </c>
      <c r="C108">
        <v>5</v>
      </c>
    </row>
    <row r="109" spans="1:3" x14ac:dyDescent="0.25">
      <c r="A109">
        <v>108</v>
      </c>
      <c r="B109" t="s">
        <v>152</v>
      </c>
      <c r="C109">
        <v>5</v>
      </c>
    </row>
    <row r="110" spans="1:3" x14ac:dyDescent="0.25">
      <c r="A110">
        <v>109</v>
      </c>
      <c r="B110" t="s">
        <v>153</v>
      </c>
      <c r="C110">
        <v>1</v>
      </c>
    </row>
    <row r="111" spans="1:3" x14ac:dyDescent="0.25">
      <c r="A111">
        <v>110</v>
      </c>
      <c r="B111" t="s">
        <v>154</v>
      </c>
      <c r="C111">
        <v>1</v>
      </c>
    </row>
    <row r="112" spans="1:3" x14ac:dyDescent="0.25">
      <c r="A112">
        <v>111</v>
      </c>
      <c r="B112" t="s">
        <v>155</v>
      </c>
      <c r="C112">
        <v>1</v>
      </c>
    </row>
    <row r="113" spans="1:3" x14ac:dyDescent="0.25">
      <c r="A113">
        <v>112</v>
      </c>
      <c r="B113" t="s">
        <v>156</v>
      </c>
      <c r="C113">
        <v>1</v>
      </c>
    </row>
    <row r="114" spans="1:3" x14ac:dyDescent="0.25">
      <c r="A114">
        <v>113</v>
      </c>
      <c r="B114" t="s">
        <v>157</v>
      </c>
      <c r="C114">
        <v>1</v>
      </c>
    </row>
    <row r="115" spans="1:3" x14ac:dyDescent="0.25">
      <c r="A115">
        <v>114</v>
      </c>
      <c r="B115" t="s">
        <v>158</v>
      </c>
      <c r="C115">
        <v>2</v>
      </c>
    </row>
    <row r="116" spans="1:3" x14ac:dyDescent="0.25">
      <c r="A116">
        <v>115</v>
      </c>
      <c r="B116" t="s">
        <v>159</v>
      </c>
      <c r="C116">
        <v>5</v>
      </c>
    </row>
    <row r="117" spans="1:3" x14ac:dyDescent="0.25">
      <c r="A117">
        <v>116</v>
      </c>
      <c r="B117" t="s">
        <v>160</v>
      </c>
      <c r="C117">
        <v>1</v>
      </c>
    </row>
    <row r="118" spans="1:3" x14ac:dyDescent="0.25">
      <c r="A118">
        <v>117</v>
      </c>
      <c r="B118" t="s">
        <v>161</v>
      </c>
      <c r="C118">
        <v>1</v>
      </c>
    </row>
    <row r="119" spans="1:3" x14ac:dyDescent="0.25">
      <c r="A119">
        <v>118</v>
      </c>
      <c r="B119" t="s">
        <v>162</v>
      </c>
      <c r="C119">
        <v>2</v>
      </c>
    </row>
    <row r="120" spans="1:3" x14ac:dyDescent="0.25">
      <c r="A120">
        <v>119</v>
      </c>
      <c r="B120" t="s">
        <v>163</v>
      </c>
      <c r="C120">
        <v>1</v>
      </c>
    </row>
    <row r="121" spans="1:3" x14ac:dyDescent="0.25">
      <c r="A121">
        <v>120</v>
      </c>
      <c r="B121" t="s">
        <v>164</v>
      </c>
      <c r="C121">
        <v>1</v>
      </c>
    </row>
    <row r="122" spans="1:3" x14ac:dyDescent="0.25">
      <c r="A122">
        <v>121</v>
      </c>
      <c r="B122" t="s">
        <v>165</v>
      </c>
      <c r="C122">
        <v>1</v>
      </c>
    </row>
    <row r="123" spans="1:3" x14ac:dyDescent="0.25">
      <c r="A123">
        <v>122</v>
      </c>
      <c r="B123" t="s">
        <v>166</v>
      </c>
      <c r="C123">
        <v>1</v>
      </c>
    </row>
    <row r="124" spans="1:3" x14ac:dyDescent="0.25">
      <c r="A124">
        <v>123</v>
      </c>
      <c r="B124" t="s">
        <v>167</v>
      </c>
      <c r="C124">
        <v>1</v>
      </c>
    </row>
    <row r="125" spans="1:3" x14ac:dyDescent="0.25">
      <c r="A125">
        <v>124</v>
      </c>
      <c r="B125" t="s">
        <v>168</v>
      </c>
      <c r="C125">
        <v>1</v>
      </c>
    </row>
    <row r="126" spans="1:3" x14ac:dyDescent="0.25">
      <c r="A126">
        <v>125</v>
      </c>
      <c r="B126" t="s">
        <v>169</v>
      </c>
      <c r="C126">
        <v>2</v>
      </c>
    </row>
    <row r="127" spans="1:3" x14ac:dyDescent="0.25">
      <c r="A127">
        <v>126</v>
      </c>
      <c r="B127" t="s">
        <v>170</v>
      </c>
      <c r="C127">
        <v>1</v>
      </c>
    </row>
    <row r="128" spans="1:3" x14ac:dyDescent="0.25">
      <c r="A128">
        <v>127</v>
      </c>
      <c r="B128" t="s">
        <v>171</v>
      </c>
      <c r="C128">
        <v>1</v>
      </c>
    </row>
    <row r="129" spans="1:3" x14ac:dyDescent="0.25">
      <c r="A129">
        <v>128</v>
      </c>
      <c r="B129" t="s">
        <v>172</v>
      </c>
      <c r="C129">
        <v>1</v>
      </c>
    </row>
    <row r="130" spans="1:3" x14ac:dyDescent="0.25">
      <c r="A130">
        <v>129</v>
      </c>
      <c r="B130" t="s">
        <v>173</v>
      </c>
      <c r="C130">
        <v>1</v>
      </c>
    </row>
    <row r="131" spans="1:3" x14ac:dyDescent="0.25">
      <c r="A131">
        <v>130</v>
      </c>
      <c r="B131" t="s">
        <v>174</v>
      </c>
      <c r="C131">
        <v>1</v>
      </c>
    </row>
    <row r="132" spans="1:3" x14ac:dyDescent="0.25">
      <c r="A132">
        <v>131</v>
      </c>
      <c r="B132" t="s">
        <v>175</v>
      </c>
      <c r="C132">
        <v>1</v>
      </c>
    </row>
    <row r="133" spans="1:3" x14ac:dyDescent="0.25">
      <c r="A133">
        <v>132</v>
      </c>
      <c r="B133" t="s">
        <v>176</v>
      </c>
      <c r="C133">
        <v>1</v>
      </c>
    </row>
    <row r="134" spans="1:3" x14ac:dyDescent="0.25">
      <c r="A134">
        <v>133</v>
      </c>
      <c r="B134" t="s">
        <v>177</v>
      </c>
      <c r="C134">
        <v>3</v>
      </c>
    </row>
    <row r="135" spans="1:3" x14ac:dyDescent="0.25">
      <c r="A135">
        <v>134</v>
      </c>
      <c r="B135" t="s">
        <v>178</v>
      </c>
      <c r="C135">
        <v>1</v>
      </c>
    </row>
    <row r="136" spans="1:3" x14ac:dyDescent="0.25">
      <c r="A136">
        <v>135</v>
      </c>
      <c r="B136" t="s">
        <v>179</v>
      </c>
      <c r="C136">
        <v>6</v>
      </c>
    </row>
    <row r="137" spans="1:3" x14ac:dyDescent="0.25">
      <c r="A137">
        <v>136</v>
      </c>
      <c r="B137" t="s">
        <v>180</v>
      </c>
      <c r="C137">
        <v>1</v>
      </c>
    </row>
    <row r="138" spans="1:3" x14ac:dyDescent="0.25">
      <c r="A138">
        <v>137</v>
      </c>
      <c r="B138" t="s">
        <v>181</v>
      </c>
      <c r="C138">
        <v>3</v>
      </c>
    </row>
    <row r="139" spans="1:3" x14ac:dyDescent="0.25">
      <c r="A139">
        <v>138</v>
      </c>
      <c r="B139" t="s">
        <v>182</v>
      </c>
      <c r="C139">
        <v>4</v>
      </c>
    </row>
    <row r="140" spans="1:3" x14ac:dyDescent="0.25">
      <c r="A140">
        <v>139</v>
      </c>
      <c r="B140" t="s">
        <v>183</v>
      </c>
      <c r="C140">
        <v>2</v>
      </c>
    </row>
    <row r="141" spans="1:3" x14ac:dyDescent="0.25">
      <c r="A141">
        <v>140</v>
      </c>
      <c r="B141" t="s">
        <v>184</v>
      </c>
      <c r="C141">
        <v>1</v>
      </c>
    </row>
    <row r="142" spans="1:3" x14ac:dyDescent="0.25">
      <c r="A142">
        <v>141</v>
      </c>
      <c r="B142" t="s">
        <v>185</v>
      </c>
      <c r="C142">
        <v>1</v>
      </c>
    </row>
    <row r="143" spans="1:3" x14ac:dyDescent="0.25">
      <c r="A143">
        <v>142</v>
      </c>
      <c r="B143" t="s">
        <v>186</v>
      </c>
      <c r="C143">
        <v>1</v>
      </c>
    </row>
    <row r="144" spans="1:3" x14ac:dyDescent="0.25">
      <c r="A144">
        <v>143</v>
      </c>
      <c r="B144" t="s">
        <v>187</v>
      </c>
      <c r="C144">
        <v>1</v>
      </c>
    </row>
    <row r="145" spans="1:3" x14ac:dyDescent="0.25">
      <c r="A145">
        <v>144</v>
      </c>
      <c r="B145" t="s">
        <v>188</v>
      </c>
      <c r="C145">
        <v>5</v>
      </c>
    </row>
    <row r="146" spans="1:3" x14ac:dyDescent="0.25">
      <c r="A146">
        <v>145</v>
      </c>
      <c r="B146" t="s">
        <v>189</v>
      </c>
      <c r="C146">
        <v>1</v>
      </c>
    </row>
    <row r="147" spans="1:3" x14ac:dyDescent="0.25">
      <c r="A147">
        <v>146</v>
      </c>
      <c r="B147" t="s">
        <v>190</v>
      </c>
      <c r="C147">
        <v>1</v>
      </c>
    </row>
    <row r="148" spans="1:3" x14ac:dyDescent="0.25">
      <c r="A148">
        <v>147</v>
      </c>
      <c r="B148" t="s">
        <v>191</v>
      </c>
      <c r="C148">
        <v>2</v>
      </c>
    </row>
    <row r="149" spans="1:3" x14ac:dyDescent="0.25">
      <c r="A149">
        <v>148</v>
      </c>
      <c r="B149" t="s">
        <v>192</v>
      </c>
      <c r="C149">
        <v>1</v>
      </c>
    </row>
    <row r="150" spans="1:3" x14ac:dyDescent="0.25">
      <c r="A150">
        <v>149</v>
      </c>
      <c r="B150" t="s">
        <v>193</v>
      </c>
      <c r="C150">
        <v>1</v>
      </c>
    </row>
    <row r="151" spans="1:3" x14ac:dyDescent="0.25">
      <c r="A151">
        <v>150</v>
      </c>
      <c r="B151" t="s">
        <v>194</v>
      </c>
      <c r="C151">
        <v>3</v>
      </c>
    </row>
    <row r="152" spans="1:3" x14ac:dyDescent="0.25">
      <c r="A152">
        <v>151</v>
      </c>
      <c r="B152" t="s">
        <v>195</v>
      </c>
      <c r="C152">
        <v>1</v>
      </c>
    </row>
    <row r="153" spans="1:3" x14ac:dyDescent="0.25">
      <c r="A153">
        <v>152</v>
      </c>
      <c r="B153" t="s">
        <v>196</v>
      </c>
      <c r="C153">
        <v>1</v>
      </c>
    </row>
    <row r="154" spans="1:3" x14ac:dyDescent="0.25">
      <c r="A154">
        <v>153</v>
      </c>
      <c r="B154" t="s">
        <v>197</v>
      </c>
      <c r="C154">
        <v>1</v>
      </c>
    </row>
    <row r="155" spans="1:3" x14ac:dyDescent="0.25">
      <c r="A155">
        <v>154</v>
      </c>
      <c r="B155" t="s">
        <v>198</v>
      </c>
      <c r="C155">
        <v>1</v>
      </c>
    </row>
    <row r="156" spans="1:3" x14ac:dyDescent="0.25">
      <c r="A156">
        <v>155</v>
      </c>
      <c r="B156" t="s">
        <v>199</v>
      </c>
      <c r="C156">
        <v>1</v>
      </c>
    </row>
    <row r="157" spans="1:3" x14ac:dyDescent="0.25">
      <c r="A157">
        <v>156</v>
      </c>
      <c r="B157" t="s">
        <v>200</v>
      </c>
      <c r="C157">
        <v>1</v>
      </c>
    </row>
    <row r="158" spans="1:3" x14ac:dyDescent="0.25">
      <c r="A158">
        <v>157</v>
      </c>
      <c r="B158" t="s">
        <v>201</v>
      </c>
      <c r="C158">
        <v>1</v>
      </c>
    </row>
    <row r="159" spans="1:3" x14ac:dyDescent="0.25">
      <c r="A159">
        <v>158</v>
      </c>
      <c r="B159" t="s">
        <v>202</v>
      </c>
      <c r="C159">
        <v>1</v>
      </c>
    </row>
    <row r="160" spans="1:3" x14ac:dyDescent="0.25">
      <c r="A160">
        <v>159</v>
      </c>
      <c r="B160" t="s">
        <v>203</v>
      </c>
      <c r="C160">
        <v>1</v>
      </c>
    </row>
    <row r="161" spans="1:3" x14ac:dyDescent="0.25">
      <c r="A161">
        <v>160</v>
      </c>
      <c r="B161" t="s">
        <v>204</v>
      </c>
      <c r="C161">
        <v>6</v>
      </c>
    </row>
    <row r="162" spans="1:3" x14ac:dyDescent="0.25">
      <c r="A162">
        <v>161</v>
      </c>
      <c r="B162" t="s">
        <v>205</v>
      </c>
      <c r="C162">
        <v>1</v>
      </c>
    </row>
    <row r="163" spans="1:3" x14ac:dyDescent="0.25">
      <c r="A163">
        <v>162</v>
      </c>
      <c r="B163" t="s">
        <v>206</v>
      </c>
      <c r="C163">
        <v>1</v>
      </c>
    </row>
    <row r="164" spans="1:3" x14ac:dyDescent="0.25">
      <c r="A164">
        <v>163</v>
      </c>
      <c r="B164" t="s">
        <v>207</v>
      </c>
      <c r="C164">
        <v>1</v>
      </c>
    </row>
    <row r="165" spans="1:3" x14ac:dyDescent="0.25">
      <c r="A165">
        <v>164</v>
      </c>
      <c r="B165" t="s">
        <v>208</v>
      </c>
      <c r="C165">
        <v>1</v>
      </c>
    </row>
    <row r="166" spans="1:3" x14ac:dyDescent="0.25">
      <c r="A166">
        <v>165</v>
      </c>
      <c r="B166" t="s">
        <v>209</v>
      </c>
      <c r="C166">
        <v>4</v>
      </c>
    </row>
    <row r="167" spans="1:3" x14ac:dyDescent="0.25">
      <c r="A167">
        <v>166</v>
      </c>
      <c r="B167" t="s">
        <v>210</v>
      </c>
      <c r="C167">
        <v>4</v>
      </c>
    </row>
    <row r="168" spans="1:3" x14ac:dyDescent="0.25">
      <c r="A168">
        <v>167</v>
      </c>
      <c r="B168" t="s">
        <v>211</v>
      </c>
      <c r="C168">
        <v>4</v>
      </c>
    </row>
    <row r="169" spans="1:3" x14ac:dyDescent="0.25">
      <c r="A169">
        <v>168</v>
      </c>
      <c r="B169" t="s">
        <v>212</v>
      </c>
      <c r="C169">
        <v>1</v>
      </c>
    </row>
    <row r="170" spans="1:3" x14ac:dyDescent="0.25">
      <c r="A170">
        <v>169</v>
      </c>
      <c r="B170" t="s">
        <v>213</v>
      </c>
      <c r="C170">
        <v>1</v>
      </c>
    </row>
    <row r="171" spans="1:3" x14ac:dyDescent="0.25">
      <c r="A171">
        <v>170</v>
      </c>
      <c r="B171" t="s">
        <v>214</v>
      </c>
      <c r="C171">
        <v>1</v>
      </c>
    </row>
    <row r="172" spans="1:3" x14ac:dyDescent="0.25">
      <c r="A172">
        <v>171</v>
      </c>
      <c r="B172" t="s">
        <v>215</v>
      </c>
      <c r="C172">
        <v>1</v>
      </c>
    </row>
    <row r="173" spans="1:3" x14ac:dyDescent="0.25">
      <c r="A173">
        <v>172</v>
      </c>
      <c r="B173" t="s">
        <v>216</v>
      </c>
      <c r="C173">
        <v>1</v>
      </c>
    </row>
    <row r="174" spans="1:3" x14ac:dyDescent="0.25">
      <c r="A174">
        <v>173</v>
      </c>
      <c r="B174" t="s">
        <v>217</v>
      </c>
      <c r="C174">
        <v>2</v>
      </c>
    </row>
    <row r="175" spans="1:3" x14ac:dyDescent="0.25">
      <c r="A175">
        <v>174</v>
      </c>
      <c r="B175" t="s">
        <v>218</v>
      </c>
      <c r="C175">
        <v>1</v>
      </c>
    </row>
    <row r="176" spans="1:3" x14ac:dyDescent="0.25">
      <c r="A176">
        <v>175</v>
      </c>
      <c r="B176" t="s">
        <v>219</v>
      </c>
      <c r="C176">
        <v>2</v>
      </c>
    </row>
    <row r="177" spans="1:3" x14ac:dyDescent="0.25">
      <c r="A177">
        <v>176</v>
      </c>
      <c r="B177" t="s">
        <v>220</v>
      </c>
      <c r="C177">
        <v>1</v>
      </c>
    </row>
    <row r="178" spans="1:3" x14ac:dyDescent="0.25">
      <c r="A178">
        <v>177</v>
      </c>
      <c r="B178" t="s">
        <v>221</v>
      </c>
      <c r="C178">
        <v>2</v>
      </c>
    </row>
    <row r="179" spans="1:3" x14ac:dyDescent="0.25">
      <c r="A179">
        <v>178</v>
      </c>
      <c r="B179" t="s">
        <v>222</v>
      </c>
      <c r="C179">
        <v>1</v>
      </c>
    </row>
    <row r="180" spans="1:3" x14ac:dyDescent="0.25">
      <c r="A180">
        <v>179</v>
      </c>
      <c r="B180" t="s">
        <v>223</v>
      </c>
      <c r="C180">
        <v>1</v>
      </c>
    </row>
    <row r="181" spans="1:3" x14ac:dyDescent="0.25">
      <c r="A181">
        <v>180</v>
      </c>
      <c r="B181" t="s">
        <v>224</v>
      </c>
      <c r="C181">
        <v>1</v>
      </c>
    </row>
    <row r="182" spans="1:3" x14ac:dyDescent="0.25">
      <c r="A182">
        <v>181</v>
      </c>
      <c r="B182" t="s">
        <v>225</v>
      </c>
      <c r="C182">
        <v>4</v>
      </c>
    </row>
    <row r="183" spans="1:3" x14ac:dyDescent="0.25">
      <c r="A183">
        <v>182</v>
      </c>
      <c r="B183" t="s">
        <v>226</v>
      </c>
      <c r="C183">
        <v>2</v>
      </c>
    </row>
    <row r="184" spans="1:3" x14ac:dyDescent="0.25">
      <c r="A184">
        <v>183</v>
      </c>
      <c r="B184" t="s">
        <v>227</v>
      </c>
      <c r="C184">
        <v>2</v>
      </c>
    </row>
    <row r="185" spans="1:3" x14ac:dyDescent="0.25">
      <c r="A185">
        <v>184</v>
      </c>
      <c r="B185" t="s">
        <v>228</v>
      </c>
      <c r="C185">
        <v>1</v>
      </c>
    </row>
    <row r="186" spans="1:3" x14ac:dyDescent="0.25">
      <c r="A186">
        <v>185</v>
      </c>
      <c r="B186" t="s">
        <v>229</v>
      </c>
      <c r="C186">
        <v>1</v>
      </c>
    </row>
    <row r="187" spans="1:3" x14ac:dyDescent="0.25">
      <c r="A187">
        <v>186</v>
      </c>
      <c r="B187" t="s">
        <v>230</v>
      </c>
      <c r="C187">
        <v>4</v>
      </c>
    </row>
    <row r="188" spans="1:3" x14ac:dyDescent="0.25">
      <c r="A188">
        <v>187</v>
      </c>
      <c r="B188" t="s">
        <v>231</v>
      </c>
      <c r="C188">
        <v>1</v>
      </c>
    </row>
    <row r="189" spans="1:3" x14ac:dyDescent="0.25">
      <c r="A189">
        <v>188</v>
      </c>
      <c r="B189" t="s">
        <v>232</v>
      </c>
      <c r="C189">
        <v>1</v>
      </c>
    </row>
    <row r="190" spans="1:3" x14ac:dyDescent="0.25">
      <c r="A190">
        <v>189</v>
      </c>
      <c r="B190" t="s">
        <v>233</v>
      </c>
      <c r="C190">
        <v>1</v>
      </c>
    </row>
    <row r="191" spans="1:3" x14ac:dyDescent="0.25">
      <c r="A191">
        <v>190</v>
      </c>
      <c r="B191" t="s">
        <v>234</v>
      </c>
      <c r="C191">
        <v>3</v>
      </c>
    </row>
    <row r="192" spans="1:3" x14ac:dyDescent="0.25">
      <c r="A192">
        <v>191</v>
      </c>
      <c r="B192" t="s">
        <v>235</v>
      </c>
      <c r="C192">
        <v>1</v>
      </c>
    </row>
    <row r="193" spans="1:3" x14ac:dyDescent="0.25">
      <c r="A193">
        <v>192</v>
      </c>
      <c r="B193" t="s">
        <v>236</v>
      </c>
      <c r="C193">
        <v>1</v>
      </c>
    </row>
    <row r="194" spans="1:3" x14ac:dyDescent="0.25">
      <c r="A194">
        <v>193</v>
      </c>
      <c r="B194" t="s">
        <v>237</v>
      </c>
      <c r="C194">
        <v>6</v>
      </c>
    </row>
    <row r="195" spans="1:3" x14ac:dyDescent="0.25">
      <c r="A195">
        <v>194</v>
      </c>
      <c r="B195" t="s">
        <v>238</v>
      </c>
      <c r="C195">
        <v>6</v>
      </c>
    </row>
    <row r="196" spans="1:3" x14ac:dyDescent="0.25">
      <c r="A196">
        <v>195</v>
      </c>
      <c r="B196" t="s">
        <v>239</v>
      </c>
      <c r="C196">
        <v>1</v>
      </c>
    </row>
    <row r="197" spans="1:3" x14ac:dyDescent="0.25">
      <c r="A197">
        <v>196</v>
      </c>
      <c r="B197" t="s">
        <v>240</v>
      </c>
      <c r="C197">
        <v>1</v>
      </c>
    </row>
    <row r="198" spans="1:3" x14ac:dyDescent="0.25">
      <c r="A198">
        <v>197</v>
      </c>
      <c r="B198" t="s">
        <v>241</v>
      </c>
      <c r="C198">
        <v>5</v>
      </c>
    </row>
    <row r="199" spans="1:3" x14ac:dyDescent="0.25">
      <c r="A199">
        <v>198</v>
      </c>
      <c r="B199" t="s">
        <v>242</v>
      </c>
      <c r="C199">
        <v>1</v>
      </c>
    </row>
    <row r="200" spans="1:3" x14ac:dyDescent="0.25">
      <c r="A200">
        <v>199</v>
      </c>
      <c r="B200" t="s">
        <v>243</v>
      </c>
      <c r="C200">
        <v>4</v>
      </c>
    </row>
    <row r="201" spans="1:3" x14ac:dyDescent="0.25">
      <c r="A201">
        <v>200</v>
      </c>
      <c r="B201" t="s">
        <v>244</v>
      </c>
      <c r="C201">
        <v>4</v>
      </c>
    </row>
    <row r="202" spans="1:3" x14ac:dyDescent="0.25">
      <c r="A202">
        <v>201</v>
      </c>
      <c r="B202" t="s">
        <v>245</v>
      </c>
      <c r="C202">
        <v>1</v>
      </c>
    </row>
    <row r="203" spans="1:3" x14ac:dyDescent="0.25">
      <c r="A203">
        <v>202</v>
      </c>
      <c r="B203" t="s">
        <v>246</v>
      </c>
      <c r="C203">
        <v>1</v>
      </c>
    </row>
    <row r="204" spans="1:3" x14ac:dyDescent="0.25">
      <c r="A204">
        <v>203</v>
      </c>
      <c r="B204" t="s">
        <v>247</v>
      </c>
      <c r="C204">
        <v>4</v>
      </c>
    </row>
    <row r="205" spans="1:3" x14ac:dyDescent="0.25">
      <c r="A205">
        <v>204</v>
      </c>
      <c r="B205" t="s">
        <v>248</v>
      </c>
      <c r="C205">
        <v>2</v>
      </c>
    </row>
    <row r="206" spans="1:3" x14ac:dyDescent="0.25">
      <c r="A206">
        <v>205</v>
      </c>
      <c r="B206" t="s">
        <v>249</v>
      </c>
      <c r="C206">
        <v>3</v>
      </c>
    </row>
    <row r="207" spans="1:3" x14ac:dyDescent="0.25">
      <c r="A207">
        <v>206</v>
      </c>
      <c r="B207" t="s">
        <v>250</v>
      </c>
      <c r="C207">
        <v>1</v>
      </c>
    </row>
    <row r="208" spans="1:3" x14ac:dyDescent="0.25">
      <c r="A208">
        <v>207</v>
      </c>
      <c r="B208" t="s">
        <v>251</v>
      </c>
      <c r="C208">
        <v>1</v>
      </c>
    </row>
    <row r="209" spans="1:3" x14ac:dyDescent="0.25">
      <c r="A209">
        <v>208</v>
      </c>
      <c r="B209" t="s">
        <v>252</v>
      </c>
      <c r="C209">
        <v>4</v>
      </c>
    </row>
    <row r="210" spans="1:3" x14ac:dyDescent="0.25">
      <c r="A210">
        <v>209</v>
      </c>
      <c r="B210" t="s">
        <v>253</v>
      </c>
      <c r="C210">
        <v>2</v>
      </c>
    </row>
    <row r="211" spans="1:3" x14ac:dyDescent="0.25">
      <c r="A211">
        <v>210</v>
      </c>
      <c r="B211" t="s">
        <v>254</v>
      </c>
      <c r="C211">
        <v>1</v>
      </c>
    </row>
    <row r="212" spans="1:3" x14ac:dyDescent="0.25">
      <c r="A212">
        <v>211</v>
      </c>
      <c r="B212" t="s">
        <v>255</v>
      </c>
      <c r="C212">
        <v>2</v>
      </c>
    </row>
    <row r="213" spans="1:3" x14ac:dyDescent="0.25">
      <c r="A213">
        <v>212</v>
      </c>
      <c r="B213" t="s">
        <v>256</v>
      </c>
      <c r="C213">
        <v>1</v>
      </c>
    </row>
    <row r="214" spans="1:3" x14ac:dyDescent="0.25">
      <c r="A214">
        <v>213</v>
      </c>
      <c r="B214" t="s">
        <v>257</v>
      </c>
      <c r="C214">
        <v>3</v>
      </c>
    </row>
    <row r="215" spans="1:3" x14ac:dyDescent="0.25">
      <c r="A215">
        <v>214</v>
      </c>
      <c r="B215" t="s">
        <v>258</v>
      </c>
      <c r="C215">
        <v>2</v>
      </c>
    </row>
    <row r="216" spans="1:3" x14ac:dyDescent="0.25">
      <c r="A216">
        <v>215</v>
      </c>
      <c r="B216" t="s">
        <v>259</v>
      </c>
      <c r="C216">
        <v>5</v>
      </c>
    </row>
    <row r="217" spans="1:3" x14ac:dyDescent="0.25">
      <c r="A217">
        <v>216</v>
      </c>
      <c r="B217" t="s">
        <v>260</v>
      </c>
      <c r="C217">
        <v>3</v>
      </c>
    </row>
    <row r="218" spans="1:3" x14ac:dyDescent="0.25">
      <c r="A218">
        <v>217</v>
      </c>
      <c r="B218" t="s">
        <v>261</v>
      </c>
      <c r="C218">
        <v>1</v>
      </c>
    </row>
    <row r="219" spans="1:3" x14ac:dyDescent="0.25">
      <c r="A219">
        <v>218</v>
      </c>
      <c r="B219" t="s">
        <v>262</v>
      </c>
      <c r="C219">
        <v>1</v>
      </c>
    </row>
    <row r="220" spans="1:3" x14ac:dyDescent="0.25">
      <c r="A220">
        <v>219</v>
      </c>
      <c r="B220" t="s">
        <v>263</v>
      </c>
      <c r="C220">
        <v>2</v>
      </c>
    </row>
    <row r="221" spans="1:3" x14ac:dyDescent="0.25">
      <c r="A221">
        <v>220</v>
      </c>
      <c r="B221" t="s">
        <v>264</v>
      </c>
      <c r="C221">
        <v>3</v>
      </c>
    </row>
    <row r="222" spans="1:3" x14ac:dyDescent="0.25">
      <c r="A222">
        <v>221</v>
      </c>
      <c r="B222" t="s">
        <v>265</v>
      </c>
      <c r="C222">
        <v>5</v>
      </c>
    </row>
    <row r="223" spans="1:3" x14ac:dyDescent="0.25">
      <c r="A223">
        <v>222</v>
      </c>
      <c r="B223" t="s">
        <v>266</v>
      </c>
      <c r="C223">
        <v>1</v>
      </c>
    </row>
    <row r="224" spans="1:3" x14ac:dyDescent="0.25">
      <c r="A224">
        <v>223</v>
      </c>
      <c r="B224" t="s">
        <v>267</v>
      </c>
      <c r="C224">
        <v>1</v>
      </c>
    </row>
    <row r="225" spans="1:3" x14ac:dyDescent="0.25">
      <c r="A225">
        <v>224</v>
      </c>
      <c r="B225" t="s">
        <v>268</v>
      </c>
      <c r="C225">
        <v>1</v>
      </c>
    </row>
    <row r="226" spans="1:3" x14ac:dyDescent="0.25">
      <c r="A226">
        <v>225</v>
      </c>
      <c r="B226" t="s">
        <v>269</v>
      </c>
      <c r="C226">
        <v>1</v>
      </c>
    </row>
    <row r="227" spans="1:3" x14ac:dyDescent="0.25">
      <c r="A227">
        <v>226</v>
      </c>
      <c r="B227" t="s">
        <v>270</v>
      </c>
      <c r="C227">
        <v>1</v>
      </c>
    </row>
    <row r="228" spans="1:3" x14ac:dyDescent="0.25">
      <c r="A228">
        <v>227</v>
      </c>
      <c r="B228" t="s">
        <v>271</v>
      </c>
      <c r="C228">
        <v>1</v>
      </c>
    </row>
    <row r="229" spans="1:3" x14ac:dyDescent="0.25">
      <c r="A229">
        <v>228</v>
      </c>
      <c r="B229" t="s">
        <v>272</v>
      </c>
      <c r="C229">
        <v>1</v>
      </c>
    </row>
    <row r="230" spans="1:3" x14ac:dyDescent="0.25">
      <c r="A230">
        <v>229</v>
      </c>
      <c r="B230" t="s">
        <v>273</v>
      </c>
      <c r="C230">
        <v>5</v>
      </c>
    </row>
    <row r="231" spans="1:3" x14ac:dyDescent="0.25">
      <c r="A231">
        <v>230</v>
      </c>
      <c r="B231" t="s">
        <v>274</v>
      </c>
      <c r="C231">
        <v>1</v>
      </c>
    </row>
    <row r="232" spans="1:3" x14ac:dyDescent="0.25">
      <c r="A232">
        <v>231</v>
      </c>
      <c r="B232" t="s">
        <v>275</v>
      </c>
      <c r="C232">
        <v>1</v>
      </c>
    </row>
    <row r="233" spans="1:3" x14ac:dyDescent="0.25">
      <c r="A233">
        <v>232</v>
      </c>
      <c r="B233" t="s">
        <v>276</v>
      </c>
      <c r="C233">
        <v>1</v>
      </c>
    </row>
    <row r="234" spans="1:3" x14ac:dyDescent="0.25">
      <c r="A234">
        <v>233</v>
      </c>
      <c r="B234" t="s">
        <v>277</v>
      </c>
      <c r="C234">
        <v>1</v>
      </c>
    </row>
    <row r="235" spans="1:3" x14ac:dyDescent="0.25">
      <c r="A235">
        <v>234</v>
      </c>
      <c r="B235" t="s">
        <v>278</v>
      </c>
      <c r="C235">
        <v>1</v>
      </c>
    </row>
    <row r="236" spans="1:3" x14ac:dyDescent="0.25">
      <c r="A236">
        <v>235</v>
      </c>
      <c r="B236" t="s">
        <v>279</v>
      </c>
      <c r="C236">
        <v>1</v>
      </c>
    </row>
    <row r="237" spans="1:3" x14ac:dyDescent="0.25">
      <c r="A237">
        <v>236</v>
      </c>
      <c r="B237" t="s">
        <v>280</v>
      </c>
      <c r="C237">
        <v>1</v>
      </c>
    </row>
    <row r="238" spans="1:3" x14ac:dyDescent="0.25">
      <c r="A238">
        <v>237</v>
      </c>
      <c r="B238" t="s">
        <v>281</v>
      </c>
      <c r="C238">
        <v>1</v>
      </c>
    </row>
    <row r="239" spans="1:3" x14ac:dyDescent="0.25">
      <c r="A239">
        <v>238</v>
      </c>
      <c r="B239" t="s">
        <v>282</v>
      </c>
      <c r="C239">
        <v>2</v>
      </c>
    </row>
    <row r="240" spans="1:3" x14ac:dyDescent="0.25">
      <c r="A240">
        <v>239</v>
      </c>
      <c r="B240" t="s">
        <v>283</v>
      </c>
      <c r="C240">
        <v>5</v>
      </c>
    </row>
    <row r="241" spans="1:3" x14ac:dyDescent="0.25">
      <c r="A241">
        <v>240</v>
      </c>
      <c r="B241" t="s">
        <v>284</v>
      </c>
      <c r="C241">
        <v>6</v>
      </c>
    </row>
    <row r="242" spans="1:3" x14ac:dyDescent="0.25">
      <c r="A242">
        <v>241</v>
      </c>
      <c r="B242" t="s">
        <v>285</v>
      </c>
      <c r="C242">
        <v>5</v>
      </c>
    </row>
    <row r="243" spans="1:3" x14ac:dyDescent="0.25">
      <c r="A243">
        <v>242</v>
      </c>
      <c r="B243" t="s">
        <v>286</v>
      </c>
      <c r="C243">
        <v>1</v>
      </c>
    </row>
    <row r="244" spans="1:3" x14ac:dyDescent="0.25">
      <c r="A244">
        <v>243</v>
      </c>
      <c r="B244" t="s">
        <v>287</v>
      </c>
      <c r="C244">
        <v>1</v>
      </c>
    </row>
    <row r="245" spans="1:3" x14ac:dyDescent="0.25">
      <c r="A245">
        <v>244</v>
      </c>
      <c r="B245" t="s">
        <v>288</v>
      </c>
      <c r="C245">
        <v>2</v>
      </c>
    </row>
    <row r="246" spans="1:3" x14ac:dyDescent="0.25">
      <c r="A246">
        <v>245</v>
      </c>
      <c r="B246" t="s">
        <v>289</v>
      </c>
      <c r="C246">
        <v>2</v>
      </c>
    </row>
    <row r="247" spans="1:3" x14ac:dyDescent="0.25">
      <c r="A247">
        <v>246</v>
      </c>
      <c r="B247" t="s">
        <v>290</v>
      </c>
      <c r="C247">
        <v>3</v>
      </c>
    </row>
    <row r="248" spans="1:3" x14ac:dyDescent="0.25">
      <c r="A248">
        <v>247</v>
      </c>
      <c r="B248" t="s">
        <v>291</v>
      </c>
      <c r="C248">
        <v>1</v>
      </c>
    </row>
    <row r="249" spans="1:3" x14ac:dyDescent="0.25">
      <c r="A249">
        <v>248</v>
      </c>
      <c r="B249" t="s">
        <v>292</v>
      </c>
      <c r="C249">
        <v>1</v>
      </c>
    </row>
    <row r="250" spans="1:3" x14ac:dyDescent="0.25">
      <c r="A250">
        <v>249</v>
      </c>
      <c r="B250" t="s">
        <v>293</v>
      </c>
      <c r="C250">
        <v>1</v>
      </c>
    </row>
    <row r="251" spans="1:3" x14ac:dyDescent="0.25">
      <c r="A251">
        <v>250</v>
      </c>
      <c r="B251" t="s">
        <v>294</v>
      </c>
      <c r="C251">
        <v>1</v>
      </c>
    </row>
    <row r="252" spans="1:3" x14ac:dyDescent="0.25">
      <c r="A252">
        <v>251</v>
      </c>
      <c r="B252" t="s">
        <v>295</v>
      </c>
      <c r="C252">
        <v>1</v>
      </c>
    </row>
    <row r="253" spans="1:3" x14ac:dyDescent="0.25">
      <c r="A253">
        <v>252</v>
      </c>
      <c r="B253" t="s">
        <v>296</v>
      </c>
      <c r="C253">
        <v>5</v>
      </c>
    </row>
    <row r="254" spans="1:3" x14ac:dyDescent="0.25">
      <c r="A254">
        <v>253</v>
      </c>
      <c r="B254" t="s">
        <v>297</v>
      </c>
      <c r="C254">
        <v>1</v>
      </c>
    </row>
    <row r="255" spans="1:3" x14ac:dyDescent="0.25">
      <c r="A255">
        <v>254</v>
      </c>
      <c r="B255" t="s">
        <v>298</v>
      </c>
      <c r="C255">
        <v>2</v>
      </c>
    </row>
    <row r="256" spans="1:3" x14ac:dyDescent="0.25">
      <c r="A256">
        <v>255</v>
      </c>
      <c r="B256" t="s">
        <v>299</v>
      </c>
      <c r="C256">
        <v>3</v>
      </c>
    </row>
    <row r="257" spans="1:3" x14ac:dyDescent="0.25">
      <c r="A257">
        <v>256</v>
      </c>
      <c r="B257" t="s">
        <v>300</v>
      </c>
      <c r="C257">
        <v>3</v>
      </c>
    </row>
    <row r="258" spans="1:3" x14ac:dyDescent="0.25">
      <c r="A258">
        <v>257</v>
      </c>
      <c r="B258" t="s">
        <v>301</v>
      </c>
      <c r="C258">
        <v>1</v>
      </c>
    </row>
    <row r="259" spans="1:3" x14ac:dyDescent="0.25">
      <c r="A259">
        <v>258</v>
      </c>
      <c r="B259" t="s">
        <v>302</v>
      </c>
      <c r="C259">
        <v>1</v>
      </c>
    </row>
    <row r="260" spans="1:3" x14ac:dyDescent="0.25">
      <c r="A260">
        <v>259</v>
      </c>
      <c r="B260" t="s">
        <v>303</v>
      </c>
      <c r="C260">
        <v>3</v>
      </c>
    </row>
    <row r="261" spans="1:3" x14ac:dyDescent="0.25">
      <c r="A261">
        <v>260</v>
      </c>
      <c r="B261" t="s">
        <v>304</v>
      </c>
      <c r="C261">
        <v>1</v>
      </c>
    </row>
    <row r="262" spans="1:3" x14ac:dyDescent="0.25">
      <c r="A262">
        <v>261</v>
      </c>
      <c r="B262" t="s">
        <v>305</v>
      </c>
      <c r="C262">
        <v>1</v>
      </c>
    </row>
    <row r="263" spans="1:3" x14ac:dyDescent="0.25">
      <c r="A263">
        <v>262</v>
      </c>
      <c r="B263" t="s">
        <v>306</v>
      </c>
      <c r="C263">
        <v>1</v>
      </c>
    </row>
    <row r="264" spans="1:3" x14ac:dyDescent="0.25">
      <c r="A264">
        <v>263</v>
      </c>
      <c r="B264" t="s">
        <v>307</v>
      </c>
      <c r="C264">
        <v>3</v>
      </c>
    </row>
    <row r="265" spans="1:3" x14ac:dyDescent="0.25">
      <c r="A265">
        <v>264</v>
      </c>
      <c r="B265" t="s">
        <v>308</v>
      </c>
      <c r="C265">
        <v>1</v>
      </c>
    </row>
    <row r="266" spans="1:3" x14ac:dyDescent="0.25">
      <c r="A266">
        <v>265</v>
      </c>
      <c r="B266" t="s">
        <v>309</v>
      </c>
      <c r="C266">
        <v>1</v>
      </c>
    </row>
    <row r="267" spans="1:3" x14ac:dyDescent="0.25">
      <c r="A267">
        <v>266</v>
      </c>
      <c r="B267" t="s">
        <v>310</v>
      </c>
      <c r="C267">
        <v>2</v>
      </c>
    </row>
    <row r="268" spans="1:3" x14ac:dyDescent="0.25">
      <c r="A268">
        <v>267</v>
      </c>
      <c r="B268" t="s">
        <v>311</v>
      </c>
      <c r="C268">
        <v>1</v>
      </c>
    </row>
    <row r="269" spans="1:3" x14ac:dyDescent="0.25">
      <c r="A269">
        <v>268</v>
      </c>
      <c r="B269" t="s">
        <v>312</v>
      </c>
      <c r="C269">
        <v>1</v>
      </c>
    </row>
    <row r="270" spans="1:3" x14ac:dyDescent="0.25">
      <c r="A270">
        <v>269</v>
      </c>
      <c r="B270" t="s">
        <v>313</v>
      </c>
      <c r="C270">
        <v>1</v>
      </c>
    </row>
    <row r="271" spans="1:3" x14ac:dyDescent="0.25">
      <c r="A271">
        <v>270</v>
      </c>
      <c r="B271" t="s">
        <v>314</v>
      </c>
      <c r="C271">
        <v>3</v>
      </c>
    </row>
    <row r="272" spans="1:3" x14ac:dyDescent="0.25">
      <c r="A272">
        <v>271</v>
      </c>
      <c r="B272" t="s">
        <v>315</v>
      </c>
      <c r="C272">
        <v>1</v>
      </c>
    </row>
    <row r="273" spans="1:3" x14ac:dyDescent="0.25">
      <c r="A273">
        <v>272</v>
      </c>
      <c r="B273" t="s">
        <v>316</v>
      </c>
      <c r="C273">
        <v>4</v>
      </c>
    </row>
    <row r="274" spans="1:3" x14ac:dyDescent="0.25">
      <c r="A274">
        <v>273</v>
      </c>
      <c r="B274" t="s">
        <v>317</v>
      </c>
      <c r="C274">
        <v>1</v>
      </c>
    </row>
    <row r="275" spans="1:3" x14ac:dyDescent="0.25">
      <c r="A275">
        <v>274</v>
      </c>
      <c r="B275" t="s">
        <v>318</v>
      </c>
      <c r="C275">
        <v>2</v>
      </c>
    </row>
    <row r="276" spans="1:3" x14ac:dyDescent="0.25">
      <c r="A276">
        <v>275</v>
      </c>
      <c r="B276" t="s">
        <v>319</v>
      </c>
      <c r="C276">
        <v>6</v>
      </c>
    </row>
    <row r="277" spans="1:3" x14ac:dyDescent="0.25">
      <c r="A277">
        <v>276</v>
      </c>
      <c r="B277" t="s">
        <v>320</v>
      </c>
      <c r="C277">
        <v>4</v>
      </c>
    </row>
    <row r="278" spans="1:3" x14ac:dyDescent="0.25">
      <c r="A278">
        <v>277</v>
      </c>
      <c r="B278" t="s">
        <v>321</v>
      </c>
      <c r="C278">
        <v>1</v>
      </c>
    </row>
    <row r="279" spans="1:3" x14ac:dyDescent="0.25">
      <c r="A279">
        <v>278</v>
      </c>
      <c r="B279" t="s">
        <v>322</v>
      </c>
      <c r="C279">
        <v>1</v>
      </c>
    </row>
    <row r="280" spans="1:3" x14ac:dyDescent="0.25">
      <c r="A280">
        <v>279</v>
      </c>
      <c r="B280" t="s">
        <v>323</v>
      </c>
      <c r="C280">
        <v>4</v>
      </c>
    </row>
    <row r="281" spans="1:3" x14ac:dyDescent="0.25">
      <c r="A281">
        <v>280</v>
      </c>
      <c r="B281" t="s">
        <v>324</v>
      </c>
      <c r="C281">
        <v>1</v>
      </c>
    </row>
    <row r="282" spans="1:3" x14ac:dyDescent="0.25">
      <c r="A282">
        <v>281</v>
      </c>
      <c r="B282" t="s">
        <v>325</v>
      </c>
      <c r="C282">
        <v>1</v>
      </c>
    </row>
    <row r="283" spans="1:3" x14ac:dyDescent="0.25">
      <c r="A283">
        <v>282</v>
      </c>
      <c r="B283" t="s">
        <v>326</v>
      </c>
      <c r="C283">
        <v>1</v>
      </c>
    </row>
    <row r="284" spans="1:3" x14ac:dyDescent="0.25">
      <c r="A284">
        <v>283</v>
      </c>
      <c r="B284" t="s">
        <v>327</v>
      </c>
      <c r="C284">
        <v>3</v>
      </c>
    </row>
    <row r="285" spans="1:3" x14ac:dyDescent="0.25">
      <c r="A285">
        <v>284</v>
      </c>
      <c r="B285" t="s">
        <v>328</v>
      </c>
      <c r="C285">
        <v>1</v>
      </c>
    </row>
    <row r="286" spans="1:3" x14ac:dyDescent="0.25">
      <c r="A286">
        <v>285</v>
      </c>
      <c r="B286" t="s">
        <v>329</v>
      </c>
      <c r="C286">
        <v>1</v>
      </c>
    </row>
    <row r="287" spans="1:3" x14ac:dyDescent="0.25">
      <c r="A287">
        <v>286</v>
      </c>
      <c r="B287" t="s">
        <v>330</v>
      </c>
      <c r="C287">
        <v>1</v>
      </c>
    </row>
    <row r="288" spans="1:3" x14ac:dyDescent="0.25">
      <c r="A288">
        <v>287</v>
      </c>
      <c r="B288" t="s">
        <v>331</v>
      </c>
      <c r="C288">
        <v>1</v>
      </c>
    </row>
    <row r="289" spans="1:3" x14ac:dyDescent="0.25">
      <c r="A289">
        <v>288</v>
      </c>
      <c r="B289" t="s">
        <v>332</v>
      </c>
      <c r="C289">
        <v>4</v>
      </c>
    </row>
    <row r="290" spans="1:3" x14ac:dyDescent="0.25">
      <c r="A290">
        <v>289</v>
      </c>
      <c r="B290" t="s">
        <v>333</v>
      </c>
      <c r="C290">
        <v>2</v>
      </c>
    </row>
    <row r="291" spans="1:3" x14ac:dyDescent="0.25">
      <c r="A291">
        <v>290</v>
      </c>
      <c r="B291" t="s">
        <v>334</v>
      </c>
      <c r="C291">
        <v>1</v>
      </c>
    </row>
    <row r="292" spans="1:3" x14ac:dyDescent="0.25">
      <c r="A292">
        <v>291</v>
      </c>
      <c r="B292" t="s">
        <v>335</v>
      </c>
      <c r="C292">
        <v>1</v>
      </c>
    </row>
    <row r="293" spans="1:3" x14ac:dyDescent="0.25">
      <c r="A293">
        <v>292</v>
      </c>
      <c r="B293" t="s">
        <v>336</v>
      </c>
      <c r="C293">
        <v>2</v>
      </c>
    </row>
    <row r="294" spans="1:3" x14ac:dyDescent="0.25">
      <c r="A294">
        <v>293</v>
      </c>
      <c r="B294" t="s">
        <v>337</v>
      </c>
      <c r="C294">
        <v>3</v>
      </c>
    </row>
    <row r="295" spans="1:3" x14ac:dyDescent="0.25">
      <c r="A295">
        <v>294</v>
      </c>
      <c r="B295" t="s">
        <v>338</v>
      </c>
      <c r="C295">
        <v>1</v>
      </c>
    </row>
    <row r="296" spans="1:3" x14ac:dyDescent="0.25">
      <c r="A296">
        <v>295</v>
      </c>
      <c r="B296" t="s">
        <v>339</v>
      </c>
      <c r="C296">
        <v>1</v>
      </c>
    </row>
    <row r="297" spans="1:3" x14ac:dyDescent="0.25">
      <c r="A297">
        <v>296</v>
      </c>
      <c r="B297" t="s">
        <v>340</v>
      </c>
      <c r="C297">
        <v>1</v>
      </c>
    </row>
    <row r="298" spans="1:3" x14ac:dyDescent="0.25">
      <c r="A298">
        <v>297</v>
      </c>
      <c r="B298" t="s">
        <v>341</v>
      </c>
      <c r="C298">
        <v>6</v>
      </c>
    </row>
    <row r="299" spans="1:3" x14ac:dyDescent="0.25">
      <c r="A299">
        <v>298</v>
      </c>
      <c r="B299" t="s">
        <v>342</v>
      </c>
      <c r="C299">
        <v>1</v>
      </c>
    </row>
    <row r="300" spans="1:3" x14ac:dyDescent="0.25">
      <c r="A300">
        <v>299</v>
      </c>
      <c r="B300" t="s">
        <v>343</v>
      </c>
      <c r="C300">
        <v>1</v>
      </c>
    </row>
    <row r="301" spans="1:3" x14ac:dyDescent="0.25">
      <c r="A301">
        <v>300</v>
      </c>
      <c r="B301" t="s">
        <v>344</v>
      </c>
      <c r="C301">
        <v>1</v>
      </c>
    </row>
    <row r="302" spans="1:3" x14ac:dyDescent="0.25">
      <c r="A302">
        <v>301</v>
      </c>
      <c r="B302" t="s">
        <v>345</v>
      </c>
      <c r="C302">
        <v>1</v>
      </c>
    </row>
    <row r="303" spans="1:3" x14ac:dyDescent="0.25">
      <c r="A303">
        <v>302</v>
      </c>
      <c r="B303" t="s">
        <v>346</v>
      </c>
      <c r="C303">
        <v>4</v>
      </c>
    </row>
    <row r="304" spans="1:3" x14ac:dyDescent="0.25">
      <c r="A304">
        <v>303</v>
      </c>
      <c r="B304" t="s">
        <v>347</v>
      </c>
      <c r="C304">
        <v>1</v>
      </c>
    </row>
    <row r="305" spans="1:3" x14ac:dyDescent="0.25">
      <c r="A305">
        <v>304</v>
      </c>
      <c r="B305" t="s">
        <v>348</v>
      </c>
      <c r="C305">
        <v>1</v>
      </c>
    </row>
    <row r="306" spans="1:3" x14ac:dyDescent="0.25">
      <c r="A306">
        <v>305</v>
      </c>
      <c r="B306" t="s">
        <v>349</v>
      </c>
      <c r="C306">
        <v>1</v>
      </c>
    </row>
    <row r="307" spans="1:3" x14ac:dyDescent="0.25">
      <c r="A307">
        <v>306</v>
      </c>
      <c r="B307" t="s">
        <v>350</v>
      </c>
      <c r="C307">
        <v>1</v>
      </c>
    </row>
    <row r="308" spans="1:3" x14ac:dyDescent="0.25">
      <c r="A308">
        <v>307</v>
      </c>
      <c r="B308" t="s">
        <v>351</v>
      </c>
      <c r="C308">
        <v>4</v>
      </c>
    </row>
    <row r="309" spans="1:3" x14ac:dyDescent="0.25">
      <c r="A309">
        <v>308</v>
      </c>
      <c r="B309" t="s">
        <v>352</v>
      </c>
      <c r="C309">
        <v>1</v>
      </c>
    </row>
    <row r="310" spans="1:3" x14ac:dyDescent="0.25">
      <c r="A310">
        <v>309</v>
      </c>
      <c r="B310" t="s">
        <v>353</v>
      </c>
      <c r="C310">
        <v>1</v>
      </c>
    </row>
    <row r="311" spans="1:3" x14ac:dyDescent="0.25">
      <c r="A311">
        <v>310</v>
      </c>
      <c r="B311" t="s">
        <v>354</v>
      </c>
      <c r="C311">
        <v>1</v>
      </c>
    </row>
    <row r="312" spans="1:3" x14ac:dyDescent="0.25">
      <c r="A312">
        <v>311</v>
      </c>
      <c r="B312" t="s">
        <v>355</v>
      </c>
      <c r="C312">
        <v>1</v>
      </c>
    </row>
    <row r="313" spans="1:3" x14ac:dyDescent="0.25">
      <c r="A313">
        <v>312</v>
      </c>
      <c r="B313" t="s">
        <v>356</v>
      </c>
      <c r="C313">
        <v>2</v>
      </c>
    </row>
    <row r="314" spans="1:3" x14ac:dyDescent="0.25">
      <c r="A314">
        <v>313</v>
      </c>
      <c r="B314" t="s">
        <v>357</v>
      </c>
      <c r="C314">
        <v>1</v>
      </c>
    </row>
    <row r="315" spans="1:3" x14ac:dyDescent="0.25">
      <c r="A315">
        <v>314</v>
      </c>
      <c r="B315" t="s">
        <v>358</v>
      </c>
      <c r="C315">
        <v>1</v>
      </c>
    </row>
    <row r="316" spans="1:3" x14ac:dyDescent="0.25">
      <c r="A316">
        <v>315</v>
      </c>
      <c r="B316" t="s">
        <v>359</v>
      </c>
      <c r="C316">
        <v>1</v>
      </c>
    </row>
    <row r="317" spans="1:3" x14ac:dyDescent="0.25">
      <c r="A317">
        <v>316</v>
      </c>
      <c r="B317" t="s">
        <v>360</v>
      </c>
      <c r="C317">
        <v>1</v>
      </c>
    </row>
    <row r="318" spans="1:3" x14ac:dyDescent="0.25">
      <c r="A318">
        <v>317</v>
      </c>
      <c r="B318" t="s">
        <v>361</v>
      </c>
      <c r="C318">
        <v>1</v>
      </c>
    </row>
    <row r="319" spans="1:3" x14ac:dyDescent="0.25">
      <c r="A319">
        <v>318</v>
      </c>
      <c r="B319" t="s">
        <v>362</v>
      </c>
      <c r="C319">
        <v>4</v>
      </c>
    </row>
    <row r="320" spans="1:3" x14ac:dyDescent="0.25">
      <c r="A320">
        <v>319</v>
      </c>
      <c r="B320" t="s">
        <v>363</v>
      </c>
      <c r="C320">
        <v>1</v>
      </c>
    </row>
    <row r="321" spans="1:3" x14ac:dyDescent="0.25">
      <c r="A321">
        <v>320</v>
      </c>
      <c r="B321" t="s">
        <v>364</v>
      </c>
      <c r="C321">
        <v>1</v>
      </c>
    </row>
    <row r="322" spans="1:3" x14ac:dyDescent="0.25">
      <c r="A322">
        <v>321</v>
      </c>
      <c r="B322" t="s">
        <v>365</v>
      </c>
      <c r="C322">
        <v>6</v>
      </c>
    </row>
    <row r="323" spans="1:3" x14ac:dyDescent="0.25">
      <c r="A323">
        <v>322</v>
      </c>
      <c r="B323" t="s">
        <v>366</v>
      </c>
      <c r="C323">
        <v>1</v>
      </c>
    </row>
    <row r="324" spans="1:3" x14ac:dyDescent="0.25">
      <c r="A324">
        <v>323</v>
      </c>
      <c r="B324" t="s">
        <v>367</v>
      </c>
      <c r="C324">
        <v>4</v>
      </c>
    </row>
    <row r="325" spans="1:3" x14ac:dyDescent="0.25">
      <c r="A325">
        <v>324</v>
      </c>
      <c r="B325" t="s">
        <v>368</v>
      </c>
      <c r="C325">
        <v>1</v>
      </c>
    </row>
    <row r="326" spans="1:3" x14ac:dyDescent="0.25">
      <c r="A326">
        <v>325</v>
      </c>
      <c r="B326" t="s">
        <v>369</v>
      </c>
      <c r="C326">
        <v>1</v>
      </c>
    </row>
    <row r="327" spans="1:3" x14ac:dyDescent="0.25">
      <c r="A327">
        <v>326</v>
      </c>
      <c r="B327" t="s">
        <v>370</v>
      </c>
      <c r="C327">
        <v>2</v>
      </c>
    </row>
    <row r="328" spans="1:3" x14ac:dyDescent="0.25">
      <c r="A328">
        <v>327</v>
      </c>
      <c r="B328" t="s">
        <v>371</v>
      </c>
      <c r="C328">
        <v>4</v>
      </c>
    </row>
    <row r="329" spans="1:3" x14ac:dyDescent="0.25">
      <c r="A329">
        <v>328</v>
      </c>
      <c r="B329" t="s">
        <v>372</v>
      </c>
      <c r="C329">
        <v>4</v>
      </c>
    </row>
    <row r="330" spans="1:3" x14ac:dyDescent="0.25">
      <c r="A330">
        <v>329</v>
      </c>
      <c r="B330" t="s">
        <v>373</v>
      </c>
      <c r="C330">
        <v>1</v>
      </c>
    </row>
    <row r="331" spans="1:3" x14ac:dyDescent="0.25">
      <c r="A331">
        <v>330</v>
      </c>
      <c r="B331" t="s">
        <v>374</v>
      </c>
      <c r="C331">
        <v>1</v>
      </c>
    </row>
    <row r="332" spans="1:3" x14ac:dyDescent="0.25">
      <c r="A332">
        <v>331</v>
      </c>
      <c r="B332" t="s">
        <v>375</v>
      </c>
      <c r="C332">
        <v>1</v>
      </c>
    </row>
    <row r="333" spans="1:3" x14ac:dyDescent="0.25">
      <c r="A333">
        <v>332</v>
      </c>
      <c r="B333" t="s">
        <v>376</v>
      </c>
      <c r="C333">
        <v>3</v>
      </c>
    </row>
    <row r="334" spans="1:3" x14ac:dyDescent="0.25">
      <c r="A334">
        <v>333</v>
      </c>
      <c r="B334" t="s">
        <v>377</v>
      </c>
      <c r="C334">
        <v>1</v>
      </c>
    </row>
    <row r="335" spans="1:3" x14ac:dyDescent="0.25">
      <c r="A335">
        <v>334</v>
      </c>
      <c r="B335" t="s">
        <v>378</v>
      </c>
      <c r="C335">
        <v>3</v>
      </c>
    </row>
    <row r="336" spans="1:3" x14ac:dyDescent="0.25">
      <c r="A336">
        <v>335</v>
      </c>
      <c r="B336" t="s">
        <v>379</v>
      </c>
      <c r="C336">
        <v>1</v>
      </c>
    </row>
    <row r="337" spans="1:3" x14ac:dyDescent="0.25">
      <c r="A337">
        <v>336</v>
      </c>
      <c r="B337" t="s">
        <v>380</v>
      </c>
      <c r="C337">
        <v>1</v>
      </c>
    </row>
    <row r="338" spans="1:3" x14ac:dyDescent="0.25">
      <c r="A338">
        <v>337</v>
      </c>
      <c r="B338" t="s">
        <v>381</v>
      </c>
      <c r="C338">
        <v>1</v>
      </c>
    </row>
    <row r="339" spans="1:3" x14ac:dyDescent="0.25">
      <c r="A339">
        <v>338</v>
      </c>
      <c r="B339" t="s">
        <v>382</v>
      </c>
      <c r="C339">
        <v>1</v>
      </c>
    </row>
    <row r="340" spans="1:3" x14ac:dyDescent="0.25">
      <c r="A340">
        <v>339</v>
      </c>
      <c r="B340" t="s">
        <v>383</v>
      </c>
      <c r="C340">
        <v>1</v>
      </c>
    </row>
    <row r="341" spans="1:3" x14ac:dyDescent="0.25">
      <c r="A341">
        <v>340</v>
      </c>
      <c r="B341" t="s">
        <v>384</v>
      </c>
      <c r="C341">
        <v>1</v>
      </c>
    </row>
    <row r="342" spans="1:3" x14ac:dyDescent="0.25">
      <c r="A342">
        <v>341</v>
      </c>
      <c r="B342" t="s">
        <v>385</v>
      </c>
      <c r="C342">
        <v>1</v>
      </c>
    </row>
    <row r="343" spans="1:3" x14ac:dyDescent="0.25">
      <c r="A343">
        <v>342</v>
      </c>
      <c r="B343" t="s">
        <v>386</v>
      </c>
      <c r="C343">
        <v>1</v>
      </c>
    </row>
    <row r="344" spans="1:3" x14ac:dyDescent="0.25">
      <c r="A344">
        <v>343</v>
      </c>
      <c r="B344" t="s">
        <v>387</v>
      </c>
      <c r="C344">
        <v>3</v>
      </c>
    </row>
    <row r="345" spans="1:3" x14ac:dyDescent="0.25">
      <c r="A345">
        <v>344</v>
      </c>
      <c r="B345" t="s">
        <v>388</v>
      </c>
      <c r="C345">
        <v>2</v>
      </c>
    </row>
    <row r="346" spans="1:3" x14ac:dyDescent="0.25">
      <c r="A346">
        <v>345</v>
      </c>
      <c r="B346" t="s">
        <v>389</v>
      </c>
      <c r="C346">
        <v>1</v>
      </c>
    </row>
    <row r="347" spans="1:3" x14ac:dyDescent="0.25">
      <c r="A347">
        <v>346</v>
      </c>
      <c r="B347" t="s">
        <v>390</v>
      </c>
      <c r="C347">
        <v>1</v>
      </c>
    </row>
    <row r="348" spans="1:3" x14ac:dyDescent="0.25">
      <c r="A348">
        <v>347</v>
      </c>
      <c r="B348" t="s">
        <v>391</v>
      </c>
      <c r="C348">
        <v>1</v>
      </c>
    </row>
    <row r="349" spans="1:3" x14ac:dyDescent="0.25">
      <c r="A349">
        <v>348</v>
      </c>
      <c r="B349" t="s">
        <v>392</v>
      </c>
      <c r="C349">
        <v>1</v>
      </c>
    </row>
    <row r="350" spans="1:3" x14ac:dyDescent="0.25">
      <c r="A350">
        <v>349</v>
      </c>
      <c r="B350" t="s">
        <v>393</v>
      </c>
      <c r="C350">
        <v>2</v>
      </c>
    </row>
    <row r="351" spans="1:3" x14ac:dyDescent="0.25">
      <c r="A351">
        <v>350</v>
      </c>
      <c r="B351" t="s">
        <v>394</v>
      </c>
      <c r="C351">
        <v>1</v>
      </c>
    </row>
    <row r="352" spans="1:3" x14ac:dyDescent="0.25">
      <c r="A352">
        <v>351</v>
      </c>
      <c r="B352" t="s">
        <v>395</v>
      </c>
      <c r="C352">
        <v>4</v>
      </c>
    </row>
    <row r="353" spans="1:3" x14ac:dyDescent="0.25">
      <c r="A353">
        <v>352</v>
      </c>
      <c r="B353" t="s">
        <v>396</v>
      </c>
      <c r="C353">
        <v>1</v>
      </c>
    </row>
    <row r="354" spans="1:3" x14ac:dyDescent="0.25">
      <c r="A354">
        <v>353</v>
      </c>
      <c r="B354" t="s">
        <v>397</v>
      </c>
      <c r="C354">
        <v>1</v>
      </c>
    </row>
    <row r="355" spans="1:3" x14ac:dyDescent="0.25">
      <c r="A355">
        <v>354</v>
      </c>
      <c r="B355" t="s">
        <v>398</v>
      </c>
      <c r="C355">
        <v>1</v>
      </c>
    </row>
    <row r="356" spans="1:3" x14ac:dyDescent="0.25">
      <c r="A356">
        <v>355</v>
      </c>
      <c r="B356" t="s">
        <v>399</v>
      </c>
      <c r="C356">
        <v>6</v>
      </c>
    </row>
    <row r="357" spans="1:3" x14ac:dyDescent="0.25">
      <c r="A357">
        <v>356</v>
      </c>
      <c r="B357" t="s">
        <v>400</v>
      </c>
      <c r="C357">
        <v>1</v>
      </c>
    </row>
    <row r="358" spans="1:3" x14ac:dyDescent="0.25">
      <c r="A358">
        <v>357</v>
      </c>
      <c r="B358" t="s">
        <v>401</v>
      </c>
      <c r="C358">
        <v>6</v>
      </c>
    </row>
    <row r="359" spans="1:3" x14ac:dyDescent="0.25">
      <c r="A359">
        <v>358</v>
      </c>
      <c r="B359" t="s">
        <v>402</v>
      </c>
      <c r="C359">
        <v>4</v>
      </c>
    </row>
    <row r="360" spans="1:3" x14ac:dyDescent="0.25">
      <c r="A360">
        <v>359</v>
      </c>
      <c r="B360" t="s">
        <v>403</v>
      </c>
      <c r="C360">
        <v>1</v>
      </c>
    </row>
    <row r="361" spans="1:3" x14ac:dyDescent="0.25">
      <c r="A361">
        <v>360</v>
      </c>
      <c r="B361" t="s">
        <v>404</v>
      </c>
      <c r="C361">
        <v>1</v>
      </c>
    </row>
    <row r="362" spans="1:3" x14ac:dyDescent="0.25">
      <c r="A362">
        <v>361</v>
      </c>
      <c r="B362" t="s">
        <v>405</v>
      </c>
      <c r="C362">
        <v>3</v>
      </c>
    </row>
    <row r="363" spans="1:3" x14ac:dyDescent="0.25">
      <c r="A363">
        <v>362</v>
      </c>
      <c r="B363" t="s">
        <v>406</v>
      </c>
      <c r="C363">
        <v>1</v>
      </c>
    </row>
    <row r="364" spans="1:3" x14ac:dyDescent="0.25">
      <c r="A364">
        <v>363</v>
      </c>
      <c r="B364" t="s">
        <v>407</v>
      </c>
      <c r="C364">
        <v>1</v>
      </c>
    </row>
    <row r="365" spans="1:3" x14ac:dyDescent="0.25">
      <c r="A365">
        <v>364</v>
      </c>
      <c r="B365" t="s">
        <v>408</v>
      </c>
      <c r="C365">
        <v>4</v>
      </c>
    </row>
    <row r="366" spans="1:3" x14ac:dyDescent="0.25">
      <c r="A366">
        <v>365</v>
      </c>
      <c r="B366" t="s">
        <v>409</v>
      </c>
      <c r="C366">
        <v>4</v>
      </c>
    </row>
    <row r="367" spans="1:3" x14ac:dyDescent="0.25">
      <c r="A367">
        <v>366</v>
      </c>
      <c r="B367" t="s">
        <v>410</v>
      </c>
      <c r="C367">
        <v>2</v>
      </c>
    </row>
    <row r="368" spans="1:3" x14ac:dyDescent="0.25">
      <c r="A368">
        <v>367</v>
      </c>
      <c r="B368" t="s">
        <v>411</v>
      </c>
      <c r="C368">
        <v>1</v>
      </c>
    </row>
    <row r="369" spans="1:3" x14ac:dyDescent="0.25">
      <c r="A369">
        <v>368</v>
      </c>
      <c r="B369" t="s">
        <v>412</v>
      </c>
      <c r="C369">
        <v>1</v>
      </c>
    </row>
    <row r="370" spans="1:3" x14ac:dyDescent="0.25">
      <c r="A370">
        <v>369</v>
      </c>
      <c r="B370" t="s">
        <v>413</v>
      </c>
      <c r="C370">
        <v>2</v>
      </c>
    </row>
    <row r="371" spans="1:3" x14ac:dyDescent="0.25">
      <c r="A371">
        <v>370</v>
      </c>
      <c r="B371" t="s">
        <v>414</v>
      </c>
      <c r="C371">
        <v>3</v>
      </c>
    </row>
    <row r="372" spans="1:3" x14ac:dyDescent="0.25">
      <c r="A372">
        <v>371</v>
      </c>
      <c r="B372" t="s">
        <v>415</v>
      </c>
      <c r="C372">
        <v>1</v>
      </c>
    </row>
    <row r="373" spans="1:3" x14ac:dyDescent="0.25">
      <c r="A373">
        <v>372</v>
      </c>
      <c r="B373" t="s">
        <v>416</v>
      </c>
      <c r="C373">
        <v>2</v>
      </c>
    </row>
    <row r="374" spans="1:3" x14ac:dyDescent="0.25">
      <c r="A374">
        <v>373</v>
      </c>
      <c r="B374" t="s">
        <v>417</v>
      </c>
      <c r="C374">
        <v>6</v>
      </c>
    </row>
    <row r="375" spans="1:3" x14ac:dyDescent="0.25">
      <c r="A375">
        <v>374</v>
      </c>
      <c r="B375" t="s">
        <v>418</v>
      </c>
      <c r="C375">
        <v>6</v>
      </c>
    </row>
    <row r="376" spans="1:3" x14ac:dyDescent="0.25">
      <c r="A376">
        <v>375</v>
      </c>
      <c r="B376" t="s">
        <v>419</v>
      </c>
      <c r="C376">
        <v>1</v>
      </c>
    </row>
    <row r="377" spans="1:3" x14ac:dyDescent="0.25">
      <c r="A377">
        <v>376</v>
      </c>
      <c r="B377" t="s">
        <v>420</v>
      </c>
      <c r="C377">
        <v>3</v>
      </c>
    </row>
    <row r="378" spans="1:3" x14ac:dyDescent="0.25">
      <c r="A378">
        <v>377</v>
      </c>
      <c r="B378" t="s">
        <v>421</v>
      </c>
      <c r="C378">
        <v>1</v>
      </c>
    </row>
    <row r="379" spans="1:3" x14ac:dyDescent="0.25">
      <c r="A379">
        <v>378</v>
      </c>
      <c r="B379" t="s">
        <v>422</v>
      </c>
      <c r="C379">
        <v>1</v>
      </c>
    </row>
    <row r="380" spans="1:3" x14ac:dyDescent="0.25">
      <c r="A380">
        <v>379</v>
      </c>
      <c r="B380" t="s">
        <v>423</v>
      </c>
      <c r="C380">
        <v>5</v>
      </c>
    </row>
    <row r="381" spans="1:3" x14ac:dyDescent="0.25">
      <c r="A381">
        <v>380</v>
      </c>
      <c r="B381" t="s">
        <v>424</v>
      </c>
      <c r="C381">
        <v>1</v>
      </c>
    </row>
    <row r="382" spans="1:3" x14ac:dyDescent="0.25">
      <c r="A382">
        <v>381</v>
      </c>
      <c r="B382" t="s">
        <v>425</v>
      </c>
      <c r="C382">
        <v>1</v>
      </c>
    </row>
    <row r="383" spans="1:3" x14ac:dyDescent="0.25">
      <c r="A383">
        <v>382</v>
      </c>
      <c r="B383" t="s">
        <v>426</v>
      </c>
      <c r="C383">
        <v>1</v>
      </c>
    </row>
    <row r="384" spans="1:3" x14ac:dyDescent="0.25">
      <c r="A384">
        <v>383</v>
      </c>
      <c r="B384" t="s">
        <v>427</v>
      </c>
      <c r="C384">
        <v>5</v>
      </c>
    </row>
    <row r="385" spans="1:3" x14ac:dyDescent="0.25">
      <c r="A385">
        <v>384</v>
      </c>
      <c r="B385" t="s">
        <v>428</v>
      </c>
      <c r="C385">
        <v>5</v>
      </c>
    </row>
    <row r="386" spans="1:3" x14ac:dyDescent="0.25">
      <c r="A386">
        <v>385</v>
      </c>
      <c r="B386" t="s">
        <v>429</v>
      </c>
      <c r="C386">
        <v>1</v>
      </c>
    </row>
    <row r="387" spans="1:3" x14ac:dyDescent="0.25">
      <c r="A387">
        <v>386</v>
      </c>
      <c r="B387" t="s">
        <v>430</v>
      </c>
      <c r="C387">
        <v>1</v>
      </c>
    </row>
    <row r="388" spans="1:3" x14ac:dyDescent="0.25">
      <c r="A388">
        <v>387</v>
      </c>
      <c r="B388" t="s">
        <v>431</v>
      </c>
      <c r="C388">
        <v>1</v>
      </c>
    </row>
    <row r="389" spans="1:3" x14ac:dyDescent="0.25">
      <c r="A389">
        <v>388</v>
      </c>
      <c r="B389" t="s">
        <v>432</v>
      </c>
      <c r="C389">
        <v>1</v>
      </c>
    </row>
    <row r="390" spans="1:3" x14ac:dyDescent="0.25">
      <c r="A390">
        <v>389</v>
      </c>
      <c r="B390" t="s">
        <v>433</v>
      </c>
      <c r="C390">
        <v>1</v>
      </c>
    </row>
    <row r="391" spans="1:3" x14ac:dyDescent="0.25">
      <c r="A391">
        <v>390</v>
      </c>
      <c r="B391" t="s">
        <v>434</v>
      </c>
      <c r="C391">
        <v>1</v>
      </c>
    </row>
    <row r="392" spans="1:3" x14ac:dyDescent="0.25">
      <c r="A392">
        <v>391</v>
      </c>
      <c r="B392" t="s">
        <v>435</v>
      </c>
      <c r="C392">
        <v>1</v>
      </c>
    </row>
    <row r="393" spans="1:3" x14ac:dyDescent="0.25">
      <c r="A393">
        <v>392</v>
      </c>
      <c r="B393" t="s">
        <v>436</v>
      </c>
      <c r="C393">
        <v>2</v>
      </c>
    </row>
    <row r="394" spans="1:3" x14ac:dyDescent="0.25">
      <c r="A394">
        <v>393</v>
      </c>
      <c r="B394" t="s">
        <v>437</v>
      </c>
      <c r="C394">
        <v>4</v>
      </c>
    </row>
    <row r="395" spans="1:3" x14ac:dyDescent="0.25">
      <c r="A395">
        <v>394</v>
      </c>
      <c r="B395" t="s">
        <v>438</v>
      </c>
      <c r="C395">
        <v>2</v>
      </c>
    </row>
    <row r="396" spans="1:3" x14ac:dyDescent="0.25">
      <c r="A396">
        <v>395</v>
      </c>
      <c r="B396" t="s">
        <v>439</v>
      </c>
      <c r="C396">
        <v>4</v>
      </c>
    </row>
    <row r="397" spans="1:3" x14ac:dyDescent="0.25">
      <c r="A397">
        <v>396</v>
      </c>
      <c r="B397" t="s">
        <v>440</v>
      </c>
      <c r="C397">
        <v>1</v>
      </c>
    </row>
    <row r="398" spans="1:3" x14ac:dyDescent="0.25">
      <c r="A398">
        <v>397</v>
      </c>
      <c r="B398" t="s">
        <v>441</v>
      </c>
      <c r="C398">
        <v>1</v>
      </c>
    </row>
    <row r="399" spans="1:3" x14ac:dyDescent="0.25">
      <c r="A399">
        <v>398</v>
      </c>
      <c r="B399" t="s">
        <v>442</v>
      </c>
      <c r="C399">
        <v>4</v>
      </c>
    </row>
    <row r="400" spans="1:3" x14ac:dyDescent="0.25">
      <c r="A400">
        <v>399</v>
      </c>
      <c r="B400" t="s">
        <v>443</v>
      </c>
      <c r="C400">
        <v>4</v>
      </c>
    </row>
    <row r="401" spans="1:3" x14ac:dyDescent="0.25">
      <c r="A401">
        <v>400</v>
      </c>
      <c r="B401" t="s">
        <v>444</v>
      </c>
      <c r="C401">
        <v>1</v>
      </c>
    </row>
    <row r="402" spans="1:3" x14ac:dyDescent="0.25">
      <c r="A402">
        <v>401</v>
      </c>
      <c r="B402" t="s">
        <v>445</v>
      </c>
      <c r="C402">
        <v>1</v>
      </c>
    </row>
    <row r="403" spans="1:3" x14ac:dyDescent="0.25">
      <c r="A403">
        <v>402</v>
      </c>
      <c r="B403" t="s">
        <v>446</v>
      </c>
      <c r="C403">
        <v>1</v>
      </c>
    </row>
    <row r="404" spans="1:3" x14ac:dyDescent="0.25">
      <c r="A404">
        <v>403</v>
      </c>
      <c r="B404" t="s">
        <v>447</v>
      </c>
      <c r="C404">
        <v>1</v>
      </c>
    </row>
    <row r="405" spans="1:3" x14ac:dyDescent="0.25">
      <c r="A405">
        <v>404</v>
      </c>
      <c r="B405" t="s">
        <v>448</v>
      </c>
      <c r="C405">
        <v>1</v>
      </c>
    </row>
    <row r="406" spans="1:3" x14ac:dyDescent="0.25">
      <c r="A406">
        <v>405</v>
      </c>
      <c r="B406" t="s">
        <v>449</v>
      </c>
      <c r="C406">
        <v>4</v>
      </c>
    </row>
    <row r="407" spans="1:3" x14ac:dyDescent="0.25">
      <c r="A407">
        <v>406</v>
      </c>
      <c r="B407" t="s">
        <v>450</v>
      </c>
      <c r="C407">
        <v>2</v>
      </c>
    </row>
    <row r="408" spans="1:3" x14ac:dyDescent="0.25">
      <c r="A408">
        <v>407</v>
      </c>
      <c r="B408" t="s">
        <v>451</v>
      </c>
      <c r="C408">
        <v>1</v>
      </c>
    </row>
    <row r="409" spans="1:3" x14ac:dyDescent="0.25">
      <c r="A409">
        <v>408</v>
      </c>
      <c r="B409" t="s">
        <v>452</v>
      </c>
      <c r="C409">
        <v>5</v>
      </c>
    </row>
    <row r="410" spans="1:3" x14ac:dyDescent="0.25">
      <c r="A410">
        <v>409</v>
      </c>
      <c r="B410" t="s">
        <v>453</v>
      </c>
      <c r="C410">
        <v>1</v>
      </c>
    </row>
    <row r="411" spans="1:3" x14ac:dyDescent="0.25">
      <c r="A411">
        <v>410</v>
      </c>
      <c r="B411" t="s">
        <v>454</v>
      </c>
      <c r="C411">
        <v>4</v>
      </c>
    </row>
    <row r="412" spans="1:3" x14ac:dyDescent="0.25">
      <c r="A412">
        <v>411</v>
      </c>
      <c r="B412" t="s">
        <v>455</v>
      </c>
      <c r="C412">
        <v>3</v>
      </c>
    </row>
    <row r="413" spans="1:3" x14ac:dyDescent="0.25">
      <c r="A413">
        <v>412</v>
      </c>
      <c r="B413" t="s">
        <v>456</v>
      </c>
      <c r="C413">
        <v>1</v>
      </c>
    </row>
    <row r="414" spans="1:3" x14ac:dyDescent="0.25">
      <c r="A414">
        <v>413</v>
      </c>
      <c r="B414" t="s">
        <v>457</v>
      </c>
      <c r="C414">
        <v>5</v>
      </c>
    </row>
    <row r="415" spans="1:3" x14ac:dyDescent="0.25">
      <c r="A415">
        <v>414</v>
      </c>
      <c r="B415" t="s">
        <v>458</v>
      </c>
      <c r="C415">
        <v>2</v>
      </c>
    </row>
    <row r="416" spans="1:3" x14ac:dyDescent="0.25">
      <c r="A416">
        <v>415</v>
      </c>
      <c r="B416" t="s">
        <v>459</v>
      </c>
      <c r="C416">
        <v>3</v>
      </c>
    </row>
    <row r="417" spans="1:3" x14ac:dyDescent="0.25">
      <c r="A417">
        <v>416</v>
      </c>
      <c r="B417" t="s">
        <v>460</v>
      </c>
      <c r="C417">
        <v>1</v>
      </c>
    </row>
    <row r="418" spans="1:3" x14ac:dyDescent="0.25">
      <c r="A418">
        <v>417</v>
      </c>
      <c r="B418" t="s">
        <v>461</v>
      </c>
      <c r="C418">
        <v>1</v>
      </c>
    </row>
    <row r="419" spans="1:3" x14ac:dyDescent="0.25">
      <c r="A419">
        <v>418</v>
      </c>
      <c r="B419" t="s">
        <v>462</v>
      </c>
      <c r="C419">
        <v>1</v>
      </c>
    </row>
    <row r="420" spans="1:3" x14ac:dyDescent="0.25">
      <c r="A420">
        <v>419</v>
      </c>
      <c r="B420" t="s">
        <v>463</v>
      </c>
      <c r="C420">
        <v>1</v>
      </c>
    </row>
    <row r="421" spans="1:3" x14ac:dyDescent="0.25">
      <c r="A421">
        <v>420</v>
      </c>
      <c r="B421" t="s">
        <v>464</v>
      </c>
      <c r="C421">
        <v>3</v>
      </c>
    </row>
    <row r="422" spans="1:3" x14ac:dyDescent="0.25">
      <c r="A422">
        <v>421</v>
      </c>
      <c r="B422" t="s">
        <v>465</v>
      </c>
      <c r="C422">
        <v>1</v>
      </c>
    </row>
    <row r="423" spans="1:3" x14ac:dyDescent="0.25">
      <c r="A423">
        <v>422</v>
      </c>
      <c r="B423" t="s">
        <v>466</v>
      </c>
      <c r="C423">
        <v>1</v>
      </c>
    </row>
    <row r="424" spans="1:3" x14ac:dyDescent="0.25">
      <c r="A424">
        <v>423</v>
      </c>
      <c r="B424" t="s">
        <v>467</v>
      </c>
      <c r="C424">
        <v>1</v>
      </c>
    </row>
    <row r="425" spans="1:3" x14ac:dyDescent="0.25">
      <c r="A425">
        <v>424</v>
      </c>
      <c r="B425" t="s">
        <v>468</v>
      </c>
      <c r="C425">
        <v>5</v>
      </c>
    </row>
    <row r="426" spans="1:3" x14ac:dyDescent="0.25">
      <c r="A426">
        <v>425</v>
      </c>
      <c r="B426" t="s">
        <v>469</v>
      </c>
      <c r="C426">
        <v>2</v>
      </c>
    </row>
    <row r="427" spans="1:3" x14ac:dyDescent="0.25">
      <c r="A427">
        <v>426</v>
      </c>
      <c r="B427" t="s">
        <v>470</v>
      </c>
      <c r="C427">
        <v>5</v>
      </c>
    </row>
    <row r="428" spans="1:3" x14ac:dyDescent="0.25">
      <c r="A428">
        <v>427</v>
      </c>
      <c r="B428" t="s">
        <v>471</v>
      </c>
      <c r="C428">
        <v>1</v>
      </c>
    </row>
    <row r="429" spans="1:3" x14ac:dyDescent="0.25">
      <c r="A429">
        <v>428</v>
      </c>
      <c r="B429" t="s">
        <v>472</v>
      </c>
      <c r="C429">
        <v>4</v>
      </c>
    </row>
    <row r="430" spans="1:3" x14ac:dyDescent="0.25">
      <c r="A430">
        <v>429</v>
      </c>
      <c r="B430" t="s">
        <v>473</v>
      </c>
      <c r="C430">
        <v>1</v>
      </c>
    </row>
    <row r="431" spans="1:3" x14ac:dyDescent="0.25">
      <c r="A431">
        <v>430</v>
      </c>
      <c r="B431" t="s">
        <v>474</v>
      </c>
      <c r="C431">
        <v>2</v>
      </c>
    </row>
    <row r="432" spans="1:3" x14ac:dyDescent="0.25">
      <c r="A432">
        <v>431</v>
      </c>
      <c r="B432" t="s">
        <v>475</v>
      </c>
      <c r="C432">
        <v>4</v>
      </c>
    </row>
    <row r="433" spans="1:3" x14ac:dyDescent="0.25">
      <c r="A433">
        <v>432</v>
      </c>
      <c r="B433" t="s">
        <v>476</v>
      </c>
      <c r="C433">
        <v>1</v>
      </c>
    </row>
    <row r="434" spans="1:3" x14ac:dyDescent="0.25">
      <c r="A434">
        <v>433</v>
      </c>
      <c r="B434" t="s">
        <v>477</v>
      </c>
      <c r="C434">
        <v>1</v>
      </c>
    </row>
    <row r="435" spans="1:3" x14ac:dyDescent="0.25">
      <c r="A435">
        <v>434</v>
      </c>
      <c r="B435" t="s">
        <v>478</v>
      </c>
      <c r="C435">
        <v>1</v>
      </c>
    </row>
    <row r="436" spans="1:3" x14ac:dyDescent="0.25">
      <c r="A436">
        <v>435</v>
      </c>
      <c r="B436" t="s">
        <v>479</v>
      </c>
      <c r="C436">
        <v>1</v>
      </c>
    </row>
    <row r="437" spans="1:3" x14ac:dyDescent="0.25">
      <c r="A437">
        <v>436</v>
      </c>
      <c r="B437" t="s">
        <v>480</v>
      </c>
      <c r="C437">
        <v>1</v>
      </c>
    </row>
    <row r="438" spans="1:3" x14ac:dyDescent="0.25">
      <c r="A438">
        <v>437</v>
      </c>
      <c r="B438" t="s">
        <v>481</v>
      </c>
      <c r="C438">
        <v>1</v>
      </c>
    </row>
    <row r="439" spans="1:3" x14ac:dyDescent="0.25">
      <c r="A439">
        <v>438</v>
      </c>
      <c r="B439" t="s">
        <v>482</v>
      </c>
      <c r="C439">
        <v>1</v>
      </c>
    </row>
    <row r="440" spans="1:3" x14ac:dyDescent="0.25">
      <c r="A440">
        <v>439</v>
      </c>
      <c r="B440" t="s">
        <v>483</v>
      </c>
      <c r="C440">
        <v>6</v>
      </c>
    </row>
    <row r="441" spans="1:3" x14ac:dyDescent="0.25">
      <c r="A441">
        <v>440</v>
      </c>
      <c r="B441" t="s">
        <v>484</v>
      </c>
      <c r="C441">
        <v>1</v>
      </c>
    </row>
    <row r="442" spans="1:3" x14ac:dyDescent="0.25">
      <c r="A442">
        <v>441</v>
      </c>
      <c r="B442" t="s">
        <v>485</v>
      </c>
      <c r="C442">
        <v>1</v>
      </c>
    </row>
    <row r="443" spans="1:3" x14ac:dyDescent="0.25">
      <c r="A443">
        <v>442</v>
      </c>
      <c r="B443" t="s">
        <v>486</v>
      </c>
      <c r="C443">
        <v>3</v>
      </c>
    </row>
    <row r="444" spans="1:3" x14ac:dyDescent="0.25">
      <c r="A444">
        <v>443</v>
      </c>
      <c r="B444" t="s">
        <v>487</v>
      </c>
      <c r="C444">
        <v>5</v>
      </c>
    </row>
    <row r="445" spans="1:3" x14ac:dyDescent="0.25">
      <c r="A445">
        <v>444</v>
      </c>
      <c r="B445" t="s">
        <v>488</v>
      </c>
      <c r="C445">
        <v>1</v>
      </c>
    </row>
    <row r="446" spans="1:3" x14ac:dyDescent="0.25">
      <c r="A446">
        <v>445</v>
      </c>
      <c r="B446" t="s">
        <v>489</v>
      </c>
      <c r="C446">
        <v>2</v>
      </c>
    </row>
    <row r="447" spans="1:3" x14ac:dyDescent="0.25">
      <c r="A447">
        <v>446</v>
      </c>
      <c r="B447" t="s">
        <v>490</v>
      </c>
      <c r="C447">
        <v>1</v>
      </c>
    </row>
    <row r="448" spans="1:3" x14ac:dyDescent="0.25">
      <c r="A448">
        <v>447</v>
      </c>
      <c r="B448" t="s">
        <v>491</v>
      </c>
      <c r="C448">
        <v>1</v>
      </c>
    </row>
    <row r="449" spans="1:3" x14ac:dyDescent="0.25">
      <c r="A449">
        <v>448</v>
      </c>
      <c r="B449" t="s">
        <v>492</v>
      </c>
      <c r="C449">
        <v>3</v>
      </c>
    </row>
    <row r="450" spans="1:3" x14ac:dyDescent="0.25">
      <c r="A450">
        <v>449</v>
      </c>
      <c r="B450" t="s">
        <v>493</v>
      </c>
      <c r="C450">
        <v>1</v>
      </c>
    </row>
    <row r="451" spans="1:3" x14ac:dyDescent="0.25">
      <c r="A451">
        <v>450</v>
      </c>
      <c r="B451" t="s">
        <v>494</v>
      </c>
      <c r="C451">
        <v>1</v>
      </c>
    </row>
    <row r="452" spans="1:3" x14ac:dyDescent="0.25">
      <c r="A452">
        <v>451</v>
      </c>
      <c r="B452" t="s">
        <v>495</v>
      </c>
      <c r="C452">
        <v>1</v>
      </c>
    </row>
    <row r="453" spans="1:3" x14ac:dyDescent="0.25">
      <c r="A453">
        <v>452</v>
      </c>
      <c r="B453" t="s">
        <v>496</v>
      </c>
      <c r="C453">
        <v>4</v>
      </c>
    </row>
    <row r="454" spans="1:3" x14ac:dyDescent="0.25">
      <c r="A454">
        <v>453</v>
      </c>
      <c r="B454" t="s">
        <v>497</v>
      </c>
      <c r="C454">
        <v>4</v>
      </c>
    </row>
    <row r="455" spans="1:3" x14ac:dyDescent="0.25">
      <c r="A455">
        <v>454</v>
      </c>
      <c r="B455" t="s">
        <v>498</v>
      </c>
      <c r="C455">
        <v>1</v>
      </c>
    </row>
    <row r="456" spans="1:3" x14ac:dyDescent="0.25">
      <c r="A456">
        <v>455</v>
      </c>
      <c r="B456" t="s">
        <v>499</v>
      </c>
      <c r="C456">
        <v>1</v>
      </c>
    </row>
    <row r="457" spans="1:3" x14ac:dyDescent="0.25">
      <c r="A457">
        <v>456</v>
      </c>
      <c r="B457" t="s">
        <v>500</v>
      </c>
      <c r="C457">
        <v>1</v>
      </c>
    </row>
    <row r="458" spans="1:3" x14ac:dyDescent="0.25">
      <c r="A458">
        <v>457</v>
      </c>
      <c r="B458" t="s">
        <v>501</v>
      </c>
      <c r="C458">
        <v>4</v>
      </c>
    </row>
    <row r="459" spans="1:3" x14ac:dyDescent="0.25">
      <c r="A459">
        <v>458</v>
      </c>
      <c r="B459" t="s">
        <v>502</v>
      </c>
      <c r="C459">
        <v>1</v>
      </c>
    </row>
    <row r="460" spans="1:3" x14ac:dyDescent="0.25">
      <c r="A460">
        <v>459</v>
      </c>
      <c r="B460" t="s">
        <v>503</v>
      </c>
      <c r="C460">
        <v>1</v>
      </c>
    </row>
    <row r="461" spans="1:3" x14ac:dyDescent="0.25">
      <c r="A461">
        <v>460</v>
      </c>
      <c r="B461" t="s">
        <v>504</v>
      </c>
      <c r="C461">
        <v>1</v>
      </c>
    </row>
    <row r="462" spans="1:3" x14ac:dyDescent="0.25">
      <c r="A462">
        <v>461</v>
      </c>
      <c r="B462" t="s">
        <v>505</v>
      </c>
      <c r="C462">
        <v>1</v>
      </c>
    </row>
    <row r="463" spans="1:3" x14ac:dyDescent="0.25">
      <c r="A463">
        <v>462</v>
      </c>
      <c r="B463" t="s">
        <v>506</v>
      </c>
      <c r="C463">
        <v>2</v>
      </c>
    </row>
    <row r="464" spans="1:3" x14ac:dyDescent="0.25">
      <c r="A464">
        <v>463</v>
      </c>
      <c r="B464" t="s">
        <v>507</v>
      </c>
      <c r="C464">
        <v>1</v>
      </c>
    </row>
    <row r="465" spans="1:3" x14ac:dyDescent="0.25">
      <c r="A465">
        <v>464</v>
      </c>
      <c r="B465" t="s">
        <v>508</v>
      </c>
      <c r="C465">
        <v>2</v>
      </c>
    </row>
    <row r="466" spans="1:3" x14ac:dyDescent="0.25">
      <c r="A466">
        <v>465</v>
      </c>
      <c r="B466" t="s">
        <v>509</v>
      </c>
      <c r="C466">
        <v>2</v>
      </c>
    </row>
    <row r="467" spans="1:3" x14ac:dyDescent="0.25">
      <c r="A467">
        <v>466</v>
      </c>
      <c r="B467" t="s">
        <v>510</v>
      </c>
      <c r="C467">
        <v>4</v>
      </c>
    </row>
    <row r="468" spans="1:3" x14ac:dyDescent="0.25">
      <c r="A468">
        <v>467</v>
      </c>
      <c r="B468" t="s">
        <v>511</v>
      </c>
      <c r="C468">
        <v>1</v>
      </c>
    </row>
    <row r="469" spans="1:3" x14ac:dyDescent="0.25">
      <c r="A469">
        <v>468</v>
      </c>
      <c r="B469" t="s">
        <v>512</v>
      </c>
      <c r="C469">
        <v>1</v>
      </c>
    </row>
    <row r="470" spans="1:3" x14ac:dyDescent="0.25">
      <c r="A470">
        <v>469</v>
      </c>
      <c r="B470" t="s">
        <v>513</v>
      </c>
      <c r="C470">
        <v>3</v>
      </c>
    </row>
    <row r="471" spans="1:3" x14ac:dyDescent="0.25">
      <c r="A471">
        <v>470</v>
      </c>
      <c r="B471" t="s">
        <v>514</v>
      </c>
      <c r="C471">
        <v>1</v>
      </c>
    </row>
    <row r="472" spans="1:3" x14ac:dyDescent="0.25">
      <c r="A472">
        <v>471</v>
      </c>
      <c r="B472" t="s">
        <v>515</v>
      </c>
      <c r="C472">
        <v>1</v>
      </c>
    </row>
    <row r="473" spans="1:3" x14ac:dyDescent="0.25">
      <c r="A473">
        <v>472</v>
      </c>
      <c r="B473" t="s">
        <v>516</v>
      </c>
      <c r="C473">
        <v>1</v>
      </c>
    </row>
    <row r="474" spans="1:3" x14ac:dyDescent="0.25">
      <c r="A474">
        <v>473</v>
      </c>
      <c r="B474" t="s">
        <v>517</v>
      </c>
      <c r="C474">
        <v>3</v>
      </c>
    </row>
    <row r="475" spans="1:3" x14ac:dyDescent="0.25">
      <c r="A475">
        <v>474</v>
      </c>
      <c r="B475" t="s">
        <v>518</v>
      </c>
      <c r="C475">
        <v>1</v>
      </c>
    </row>
    <row r="476" spans="1:3" x14ac:dyDescent="0.25">
      <c r="A476">
        <v>475</v>
      </c>
      <c r="B476" t="s">
        <v>519</v>
      </c>
      <c r="C476">
        <v>1</v>
      </c>
    </row>
    <row r="477" spans="1:3" x14ac:dyDescent="0.25">
      <c r="A477">
        <v>476</v>
      </c>
      <c r="B477" t="s">
        <v>520</v>
      </c>
      <c r="C477">
        <v>1</v>
      </c>
    </row>
    <row r="478" spans="1:3" x14ac:dyDescent="0.25">
      <c r="A478">
        <v>477</v>
      </c>
      <c r="B478" t="s">
        <v>521</v>
      </c>
      <c r="C478">
        <v>4</v>
      </c>
    </row>
    <row r="479" spans="1:3" x14ac:dyDescent="0.25">
      <c r="A479">
        <v>478</v>
      </c>
      <c r="B479" t="s">
        <v>522</v>
      </c>
      <c r="C479">
        <v>5</v>
      </c>
    </row>
    <row r="480" spans="1:3" x14ac:dyDescent="0.25">
      <c r="A480">
        <v>479</v>
      </c>
      <c r="B480" t="s">
        <v>523</v>
      </c>
      <c r="C480">
        <v>1</v>
      </c>
    </row>
    <row r="481" spans="1:3" x14ac:dyDescent="0.25">
      <c r="A481">
        <v>480</v>
      </c>
      <c r="B481" t="s">
        <v>524</v>
      </c>
      <c r="C481">
        <v>5</v>
      </c>
    </row>
    <row r="482" spans="1:3" x14ac:dyDescent="0.25">
      <c r="A482">
        <v>481</v>
      </c>
      <c r="B482" t="s">
        <v>525</v>
      </c>
      <c r="C482">
        <v>1</v>
      </c>
    </row>
    <row r="483" spans="1:3" x14ac:dyDescent="0.25">
      <c r="A483">
        <v>482</v>
      </c>
      <c r="B483" t="s">
        <v>526</v>
      </c>
      <c r="C483">
        <v>1</v>
      </c>
    </row>
    <row r="484" spans="1:3" x14ac:dyDescent="0.25">
      <c r="A484">
        <v>483</v>
      </c>
      <c r="B484" t="s">
        <v>527</v>
      </c>
      <c r="C484">
        <v>5</v>
      </c>
    </row>
    <row r="485" spans="1:3" x14ac:dyDescent="0.25">
      <c r="A485">
        <v>484</v>
      </c>
      <c r="B485" t="s">
        <v>528</v>
      </c>
      <c r="C485">
        <v>1</v>
      </c>
    </row>
    <row r="486" spans="1:3" x14ac:dyDescent="0.25">
      <c r="A486">
        <v>485</v>
      </c>
      <c r="B486" t="s">
        <v>529</v>
      </c>
      <c r="C486">
        <v>2</v>
      </c>
    </row>
    <row r="487" spans="1:3" x14ac:dyDescent="0.25">
      <c r="A487">
        <v>486</v>
      </c>
      <c r="B487" t="s">
        <v>530</v>
      </c>
      <c r="C487">
        <v>2</v>
      </c>
    </row>
    <row r="488" spans="1:3" x14ac:dyDescent="0.25">
      <c r="A488">
        <v>487</v>
      </c>
      <c r="B488" t="s">
        <v>531</v>
      </c>
      <c r="C488">
        <v>1</v>
      </c>
    </row>
    <row r="489" spans="1:3" x14ac:dyDescent="0.25">
      <c r="A489">
        <v>488</v>
      </c>
      <c r="B489" t="s">
        <v>532</v>
      </c>
      <c r="C489">
        <v>1</v>
      </c>
    </row>
    <row r="490" spans="1:3" x14ac:dyDescent="0.25">
      <c r="A490">
        <v>489</v>
      </c>
      <c r="B490" t="s">
        <v>533</v>
      </c>
      <c r="C490">
        <v>5</v>
      </c>
    </row>
    <row r="491" spans="1:3" x14ac:dyDescent="0.25">
      <c r="A491">
        <v>490</v>
      </c>
      <c r="B491" t="s">
        <v>534</v>
      </c>
      <c r="C491">
        <v>1</v>
      </c>
    </row>
    <row r="492" spans="1:3" x14ac:dyDescent="0.25">
      <c r="A492">
        <v>491</v>
      </c>
      <c r="B492" t="s">
        <v>535</v>
      </c>
      <c r="C492">
        <v>1</v>
      </c>
    </row>
    <row r="493" spans="1:3" x14ac:dyDescent="0.25">
      <c r="A493">
        <v>492</v>
      </c>
      <c r="B493" t="s">
        <v>536</v>
      </c>
      <c r="C493">
        <v>5</v>
      </c>
    </row>
    <row r="494" spans="1:3" x14ac:dyDescent="0.25">
      <c r="A494">
        <v>493</v>
      </c>
      <c r="B494" t="s">
        <v>537</v>
      </c>
      <c r="C494">
        <v>1</v>
      </c>
    </row>
    <row r="495" spans="1:3" x14ac:dyDescent="0.25">
      <c r="A495">
        <v>494</v>
      </c>
      <c r="B495" t="s">
        <v>538</v>
      </c>
      <c r="C495">
        <v>1</v>
      </c>
    </row>
    <row r="496" spans="1:3" x14ac:dyDescent="0.25">
      <c r="A496">
        <v>495</v>
      </c>
      <c r="B496" t="s">
        <v>539</v>
      </c>
      <c r="C496">
        <v>1</v>
      </c>
    </row>
    <row r="497" spans="1:3" x14ac:dyDescent="0.25">
      <c r="A497">
        <v>496</v>
      </c>
      <c r="B497" t="s">
        <v>540</v>
      </c>
      <c r="C497">
        <v>2</v>
      </c>
    </row>
    <row r="498" spans="1:3" x14ac:dyDescent="0.25">
      <c r="A498">
        <v>497</v>
      </c>
      <c r="B498" t="s">
        <v>541</v>
      </c>
      <c r="C498">
        <v>5</v>
      </c>
    </row>
    <row r="499" spans="1:3" x14ac:dyDescent="0.25">
      <c r="A499">
        <v>498</v>
      </c>
      <c r="B499" t="s">
        <v>542</v>
      </c>
      <c r="C499">
        <v>1</v>
      </c>
    </row>
    <row r="500" spans="1:3" x14ac:dyDescent="0.25">
      <c r="A500">
        <v>499</v>
      </c>
      <c r="B500" t="s">
        <v>543</v>
      </c>
      <c r="C500">
        <v>1</v>
      </c>
    </row>
    <row r="501" spans="1:3" x14ac:dyDescent="0.25">
      <c r="A501">
        <v>500</v>
      </c>
      <c r="B501" t="s">
        <v>544</v>
      </c>
      <c r="C501">
        <v>1</v>
      </c>
    </row>
    <row r="502" spans="1:3" x14ac:dyDescent="0.25">
      <c r="A502">
        <v>501</v>
      </c>
      <c r="B502" t="s">
        <v>545</v>
      </c>
      <c r="C502">
        <v>1</v>
      </c>
    </row>
    <row r="503" spans="1:3" x14ac:dyDescent="0.25">
      <c r="A503">
        <v>502</v>
      </c>
      <c r="B503" t="s">
        <v>546</v>
      </c>
      <c r="C503">
        <v>4</v>
      </c>
    </row>
    <row r="504" spans="1:3" x14ac:dyDescent="0.25">
      <c r="A504">
        <v>503</v>
      </c>
      <c r="B504" t="s">
        <v>547</v>
      </c>
      <c r="C504">
        <v>5</v>
      </c>
    </row>
    <row r="505" spans="1:3" x14ac:dyDescent="0.25">
      <c r="A505">
        <v>504</v>
      </c>
      <c r="B505" t="s">
        <v>548</v>
      </c>
      <c r="C505">
        <v>5</v>
      </c>
    </row>
    <row r="506" spans="1:3" x14ac:dyDescent="0.25">
      <c r="A506">
        <v>505</v>
      </c>
      <c r="B506" t="s">
        <v>549</v>
      </c>
      <c r="C506">
        <v>1</v>
      </c>
    </row>
    <row r="507" spans="1:3" x14ac:dyDescent="0.25">
      <c r="A507">
        <v>506</v>
      </c>
      <c r="B507" t="s">
        <v>550</v>
      </c>
      <c r="C507">
        <v>1</v>
      </c>
    </row>
    <row r="508" spans="1:3" x14ac:dyDescent="0.25">
      <c r="A508">
        <v>507</v>
      </c>
      <c r="B508" t="s">
        <v>551</v>
      </c>
      <c r="C508">
        <v>1</v>
      </c>
    </row>
    <row r="509" spans="1:3" x14ac:dyDescent="0.25">
      <c r="A509">
        <v>508</v>
      </c>
      <c r="B509" t="s">
        <v>552</v>
      </c>
      <c r="C509">
        <v>5</v>
      </c>
    </row>
    <row r="510" spans="1:3" x14ac:dyDescent="0.25">
      <c r="A510">
        <v>509</v>
      </c>
      <c r="B510" t="s">
        <v>553</v>
      </c>
      <c r="C510">
        <v>1</v>
      </c>
    </row>
    <row r="511" spans="1:3" x14ac:dyDescent="0.25">
      <c r="A511">
        <v>510</v>
      </c>
      <c r="B511" t="s">
        <v>554</v>
      </c>
      <c r="C511">
        <v>1</v>
      </c>
    </row>
    <row r="512" spans="1:3" x14ac:dyDescent="0.25">
      <c r="A512">
        <v>511</v>
      </c>
      <c r="B512" t="s">
        <v>555</v>
      </c>
      <c r="C512">
        <v>6</v>
      </c>
    </row>
    <row r="513" spans="1:3" x14ac:dyDescent="0.25">
      <c r="A513">
        <v>512</v>
      </c>
      <c r="B513" t="s">
        <v>556</v>
      </c>
      <c r="C513">
        <v>1</v>
      </c>
    </row>
    <row r="514" spans="1:3" x14ac:dyDescent="0.25">
      <c r="A514">
        <v>513</v>
      </c>
      <c r="B514" t="s">
        <v>557</v>
      </c>
      <c r="C514">
        <v>6</v>
      </c>
    </row>
    <row r="515" spans="1:3" x14ac:dyDescent="0.25">
      <c r="A515">
        <v>514</v>
      </c>
      <c r="B515" t="s">
        <v>558</v>
      </c>
      <c r="C515">
        <v>1</v>
      </c>
    </row>
    <row r="516" spans="1:3" x14ac:dyDescent="0.25">
      <c r="A516">
        <v>515</v>
      </c>
      <c r="B516" t="s">
        <v>559</v>
      </c>
      <c r="C516">
        <v>1</v>
      </c>
    </row>
    <row r="517" spans="1:3" x14ac:dyDescent="0.25">
      <c r="A517">
        <v>516</v>
      </c>
      <c r="B517" t="s">
        <v>560</v>
      </c>
      <c r="C517">
        <v>1</v>
      </c>
    </row>
    <row r="518" spans="1:3" x14ac:dyDescent="0.25">
      <c r="A518">
        <v>517</v>
      </c>
      <c r="B518" t="s">
        <v>561</v>
      </c>
      <c r="C518">
        <v>1</v>
      </c>
    </row>
    <row r="519" spans="1:3" x14ac:dyDescent="0.25">
      <c r="A519">
        <v>518</v>
      </c>
      <c r="B519" t="s">
        <v>562</v>
      </c>
      <c r="C519">
        <v>3</v>
      </c>
    </row>
    <row r="520" spans="1:3" x14ac:dyDescent="0.25">
      <c r="A520">
        <v>519</v>
      </c>
      <c r="B520" t="s">
        <v>563</v>
      </c>
      <c r="C520">
        <v>5</v>
      </c>
    </row>
    <row r="521" spans="1:3" x14ac:dyDescent="0.25">
      <c r="A521">
        <v>520</v>
      </c>
      <c r="B521" t="s">
        <v>564</v>
      </c>
      <c r="C521">
        <v>1</v>
      </c>
    </row>
    <row r="522" spans="1:3" x14ac:dyDescent="0.25">
      <c r="A522">
        <v>521</v>
      </c>
      <c r="B522" t="s">
        <v>565</v>
      </c>
      <c r="C522">
        <v>2</v>
      </c>
    </row>
    <row r="523" spans="1:3" x14ac:dyDescent="0.25">
      <c r="A523">
        <v>522</v>
      </c>
      <c r="B523" t="s">
        <v>566</v>
      </c>
      <c r="C523">
        <v>3</v>
      </c>
    </row>
    <row r="524" spans="1:3" x14ac:dyDescent="0.25">
      <c r="A524">
        <v>523</v>
      </c>
      <c r="B524" t="s">
        <v>567</v>
      </c>
      <c r="C524">
        <v>1</v>
      </c>
    </row>
    <row r="525" spans="1:3" x14ac:dyDescent="0.25">
      <c r="A525">
        <v>524</v>
      </c>
      <c r="B525" t="s">
        <v>568</v>
      </c>
      <c r="C525">
        <v>1</v>
      </c>
    </row>
    <row r="526" spans="1:3" x14ac:dyDescent="0.25">
      <c r="A526">
        <v>525</v>
      </c>
      <c r="B526" t="s">
        <v>569</v>
      </c>
      <c r="C526">
        <v>1</v>
      </c>
    </row>
    <row r="527" spans="1:3" x14ac:dyDescent="0.25">
      <c r="A527">
        <v>526</v>
      </c>
      <c r="B527" t="s">
        <v>570</v>
      </c>
      <c r="C527">
        <v>1</v>
      </c>
    </row>
    <row r="528" spans="1:3" x14ac:dyDescent="0.25">
      <c r="A528">
        <v>527</v>
      </c>
      <c r="B528" t="s">
        <v>571</v>
      </c>
      <c r="C528">
        <v>1</v>
      </c>
    </row>
    <row r="529" spans="1:3" x14ac:dyDescent="0.25">
      <c r="A529">
        <v>528</v>
      </c>
      <c r="B529" t="s">
        <v>572</v>
      </c>
      <c r="C529">
        <v>4</v>
      </c>
    </row>
    <row r="530" spans="1:3" x14ac:dyDescent="0.25">
      <c r="A530">
        <v>529</v>
      </c>
      <c r="B530" t="s">
        <v>573</v>
      </c>
      <c r="C530">
        <v>4</v>
      </c>
    </row>
    <row r="531" spans="1:3" x14ac:dyDescent="0.25">
      <c r="A531">
        <v>530</v>
      </c>
      <c r="B531" t="s">
        <v>574</v>
      </c>
      <c r="C531">
        <v>1</v>
      </c>
    </row>
    <row r="532" spans="1:3" x14ac:dyDescent="0.25">
      <c r="A532">
        <v>531</v>
      </c>
      <c r="B532" t="s">
        <v>575</v>
      </c>
      <c r="C532">
        <v>6</v>
      </c>
    </row>
    <row r="533" spans="1:3" x14ac:dyDescent="0.25">
      <c r="A533">
        <v>532</v>
      </c>
      <c r="B533" t="s">
        <v>576</v>
      </c>
      <c r="C533">
        <v>2</v>
      </c>
    </row>
    <row r="534" spans="1:3" x14ac:dyDescent="0.25">
      <c r="A534">
        <v>533</v>
      </c>
      <c r="B534" t="s">
        <v>577</v>
      </c>
      <c r="C534">
        <v>1</v>
      </c>
    </row>
    <row r="535" spans="1:3" x14ac:dyDescent="0.25">
      <c r="A535">
        <v>534</v>
      </c>
      <c r="B535" t="s">
        <v>578</v>
      </c>
      <c r="C535">
        <v>1</v>
      </c>
    </row>
    <row r="536" spans="1:3" x14ac:dyDescent="0.25">
      <c r="A536">
        <v>535</v>
      </c>
      <c r="B536" t="s">
        <v>579</v>
      </c>
      <c r="C536">
        <v>1</v>
      </c>
    </row>
    <row r="537" spans="1:3" x14ac:dyDescent="0.25">
      <c r="A537">
        <v>536</v>
      </c>
      <c r="B537" t="s">
        <v>580</v>
      </c>
      <c r="C537">
        <v>1</v>
      </c>
    </row>
    <row r="538" spans="1:3" x14ac:dyDescent="0.25">
      <c r="A538">
        <v>537</v>
      </c>
      <c r="B538" t="s">
        <v>581</v>
      </c>
      <c r="C538">
        <v>2</v>
      </c>
    </row>
    <row r="539" spans="1:3" x14ac:dyDescent="0.25">
      <c r="A539">
        <v>538</v>
      </c>
      <c r="B539" t="s">
        <v>582</v>
      </c>
      <c r="C539">
        <v>1</v>
      </c>
    </row>
    <row r="540" spans="1:3" x14ac:dyDescent="0.25">
      <c r="A540">
        <v>539</v>
      </c>
      <c r="B540" t="s">
        <v>583</v>
      </c>
      <c r="C540">
        <v>2</v>
      </c>
    </row>
    <row r="541" spans="1:3" x14ac:dyDescent="0.25">
      <c r="A541">
        <v>540</v>
      </c>
      <c r="B541" t="s">
        <v>584</v>
      </c>
      <c r="C541">
        <v>1</v>
      </c>
    </row>
    <row r="542" spans="1:3" x14ac:dyDescent="0.25">
      <c r="A542">
        <v>541</v>
      </c>
      <c r="B542" t="s">
        <v>585</v>
      </c>
      <c r="C542">
        <v>1</v>
      </c>
    </row>
    <row r="543" spans="1:3" x14ac:dyDescent="0.25">
      <c r="A543">
        <v>542</v>
      </c>
      <c r="B543" t="s">
        <v>586</v>
      </c>
      <c r="C543">
        <v>1</v>
      </c>
    </row>
    <row r="544" spans="1:3" x14ac:dyDescent="0.25">
      <c r="A544">
        <v>543</v>
      </c>
      <c r="B544" t="s">
        <v>587</v>
      </c>
      <c r="C544">
        <v>3</v>
      </c>
    </row>
    <row r="545" spans="1:3" x14ac:dyDescent="0.25">
      <c r="A545">
        <v>544</v>
      </c>
      <c r="B545" t="s">
        <v>588</v>
      </c>
      <c r="C545">
        <v>3</v>
      </c>
    </row>
    <row r="546" spans="1:3" x14ac:dyDescent="0.25">
      <c r="A546">
        <v>545</v>
      </c>
      <c r="B546" t="s">
        <v>589</v>
      </c>
      <c r="C546">
        <v>2</v>
      </c>
    </row>
    <row r="547" spans="1:3" x14ac:dyDescent="0.25">
      <c r="A547">
        <v>546</v>
      </c>
      <c r="B547" t="s">
        <v>590</v>
      </c>
      <c r="C547">
        <v>3</v>
      </c>
    </row>
    <row r="548" spans="1:3" x14ac:dyDescent="0.25">
      <c r="A548">
        <v>547</v>
      </c>
      <c r="B548" t="s">
        <v>591</v>
      </c>
      <c r="C548">
        <v>1</v>
      </c>
    </row>
    <row r="549" spans="1:3" x14ac:dyDescent="0.25">
      <c r="A549">
        <v>548</v>
      </c>
      <c r="B549" t="s">
        <v>592</v>
      </c>
      <c r="C549">
        <v>2</v>
      </c>
    </row>
    <row r="550" spans="1:3" x14ac:dyDescent="0.25">
      <c r="A550">
        <v>549</v>
      </c>
      <c r="B550" t="s">
        <v>593</v>
      </c>
      <c r="C550">
        <v>2</v>
      </c>
    </row>
    <row r="551" spans="1:3" x14ac:dyDescent="0.25">
      <c r="A551">
        <v>550</v>
      </c>
      <c r="B551" t="s">
        <v>594</v>
      </c>
      <c r="C551">
        <v>1</v>
      </c>
    </row>
    <row r="552" spans="1:3" x14ac:dyDescent="0.25">
      <c r="A552">
        <v>551</v>
      </c>
      <c r="B552" t="s">
        <v>595</v>
      </c>
      <c r="C552">
        <v>6</v>
      </c>
    </row>
    <row r="553" spans="1:3" x14ac:dyDescent="0.25">
      <c r="A553">
        <v>552</v>
      </c>
      <c r="B553" t="s">
        <v>596</v>
      </c>
      <c r="C553">
        <v>1</v>
      </c>
    </row>
    <row r="554" spans="1:3" x14ac:dyDescent="0.25">
      <c r="A554">
        <v>553</v>
      </c>
      <c r="B554" t="s">
        <v>597</v>
      </c>
      <c r="C554">
        <v>6</v>
      </c>
    </row>
    <row r="555" spans="1:3" x14ac:dyDescent="0.25">
      <c r="A555">
        <v>554</v>
      </c>
      <c r="B555" t="s">
        <v>598</v>
      </c>
      <c r="C555">
        <v>2</v>
      </c>
    </row>
    <row r="556" spans="1:3" x14ac:dyDescent="0.25">
      <c r="A556">
        <v>555</v>
      </c>
      <c r="B556" t="s">
        <v>599</v>
      </c>
      <c r="C556">
        <v>5</v>
      </c>
    </row>
    <row r="557" spans="1:3" x14ac:dyDescent="0.25">
      <c r="A557">
        <v>556</v>
      </c>
      <c r="B557" t="s">
        <v>600</v>
      </c>
      <c r="C557">
        <v>1</v>
      </c>
    </row>
    <row r="558" spans="1:3" x14ac:dyDescent="0.25">
      <c r="A558">
        <v>557</v>
      </c>
      <c r="B558" t="s">
        <v>601</v>
      </c>
      <c r="C558">
        <v>1</v>
      </c>
    </row>
    <row r="559" spans="1:3" x14ac:dyDescent="0.25">
      <c r="A559">
        <v>558</v>
      </c>
      <c r="B559" t="s">
        <v>602</v>
      </c>
      <c r="C559">
        <v>1</v>
      </c>
    </row>
    <row r="560" spans="1:3" x14ac:dyDescent="0.25">
      <c r="A560">
        <v>559</v>
      </c>
      <c r="B560" t="s">
        <v>603</v>
      </c>
      <c r="C560">
        <v>5</v>
      </c>
    </row>
    <row r="561" spans="1:3" x14ac:dyDescent="0.25">
      <c r="A561">
        <v>560</v>
      </c>
      <c r="B561" t="s">
        <v>604</v>
      </c>
      <c r="C561">
        <v>1</v>
      </c>
    </row>
    <row r="562" spans="1:3" x14ac:dyDescent="0.25">
      <c r="A562">
        <v>561</v>
      </c>
      <c r="B562" t="s">
        <v>605</v>
      </c>
      <c r="C562">
        <v>2</v>
      </c>
    </row>
    <row r="563" spans="1:3" x14ac:dyDescent="0.25">
      <c r="A563">
        <v>562</v>
      </c>
      <c r="B563" t="s">
        <v>606</v>
      </c>
      <c r="C563">
        <v>1</v>
      </c>
    </row>
    <row r="564" spans="1:3" x14ac:dyDescent="0.25">
      <c r="A564">
        <v>563</v>
      </c>
      <c r="B564" t="s">
        <v>607</v>
      </c>
      <c r="C564">
        <v>1</v>
      </c>
    </row>
    <row r="565" spans="1:3" x14ac:dyDescent="0.25">
      <c r="A565">
        <v>564</v>
      </c>
      <c r="B565" t="s">
        <v>608</v>
      </c>
      <c r="C565">
        <v>1</v>
      </c>
    </row>
    <row r="566" spans="1:3" x14ac:dyDescent="0.25">
      <c r="A566">
        <v>565</v>
      </c>
      <c r="B566" t="s">
        <v>609</v>
      </c>
      <c r="C566">
        <v>1</v>
      </c>
    </row>
    <row r="567" spans="1:3" x14ac:dyDescent="0.25">
      <c r="A567">
        <v>566</v>
      </c>
      <c r="B567" t="s">
        <v>610</v>
      </c>
      <c r="C567">
        <v>1</v>
      </c>
    </row>
    <row r="568" spans="1:3" x14ac:dyDescent="0.25">
      <c r="A568">
        <v>567</v>
      </c>
      <c r="B568" t="s">
        <v>611</v>
      </c>
      <c r="C568">
        <v>1</v>
      </c>
    </row>
    <row r="569" spans="1:3" x14ac:dyDescent="0.25">
      <c r="A569">
        <v>568</v>
      </c>
      <c r="B569" t="s">
        <v>612</v>
      </c>
      <c r="C569">
        <v>1</v>
      </c>
    </row>
    <row r="570" spans="1:3" x14ac:dyDescent="0.25">
      <c r="A570">
        <v>569</v>
      </c>
      <c r="B570" t="s">
        <v>613</v>
      </c>
      <c r="C570">
        <v>1</v>
      </c>
    </row>
    <row r="571" spans="1:3" x14ac:dyDescent="0.25">
      <c r="A571">
        <v>570</v>
      </c>
      <c r="B571" t="s">
        <v>614</v>
      </c>
      <c r="C571">
        <v>1</v>
      </c>
    </row>
    <row r="572" spans="1:3" x14ac:dyDescent="0.25">
      <c r="A572">
        <v>571</v>
      </c>
      <c r="B572" t="s">
        <v>615</v>
      </c>
      <c r="C572">
        <v>2</v>
      </c>
    </row>
    <row r="573" spans="1:3" x14ac:dyDescent="0.25">
      <c r="A573">
        <v>572</v>
      </c>
      <c r="B573" t="s">
        <v>616</v>
      </c>
      <c r="C573">
        <v>1</v>
      </c>
    </row>
    <row r="574" spans="1:3" x14ac:dyDescent="0.25">
      <c r="A574">
        <v>573</v>
      </c>
      <c r="B574" t="s">
        <v>617</v>
      </c>
      <c r="C574">
        <v>1</v>
      </c>
    </row>
    <row r="575" spans="1:3" x14ac:dyDescent="0.25">
      <c r="A575">
        <v>574</v>
      </c>
      <c r="B575" t="s">
        <v>618</v>
      </c>
      <c r="C575">
        <v>2</v>
      </c>
    </row>
    <row r="576" spans="1:3" x14ac:dyDescent="0.25">
      <c r="A576">
        <v>575</v>
      </c>
      <c r="B576" t="s">
        <v>619</v>
      </c>
      <c r="C576">
        <v>2</v>
      </c>
    </row>
    <row r="577" spans="1:3" x14ac:dyDescent="0.25">
      <c r="A577">
        <v>576</v>
      </c>
      <c r="B577" t="s">
        <v>620</v>
      </c>
      <c r="C577">
        <v>1</v>
      </c>
    </row>
    <row r="578" spans="1:3" x14ac:dyDescent="0.25">
      <c r="A578">
        <v>577</v>
      </c>
      <c r="B578" t="s">
        <v>621</v>
      </c>
      <c r="C578">
        <v>1</v>
      </c>
    </row>
    <row r="579" spans="1:3" x14ac:dyDescent="0.25">
      <c r="A579">
        <v>578</v>
      </c>
      <c r="B579" t="s">
        <v>622</v>
      </c>
      <c r="C579">
        <v>1</v>
      </c>
    </row>
    <row r="580" spans="1:3" x14ac:dyDescent="0.25">
      <c r="A580">
        <v>579</v>
      </c>
      <c r="B580" t="s">
        <v>623</v>
      </c>
      <c r="C580">
        <v>1</v>
      </c>
    </row>
    <row r="581" spans="1:3" x14ac:dyDescent="0.25">
      <c r="A581">
        <v>580</v>
      </c>
      <c r="B581" t="s">
        <v>624</v>
      </c>
      <c r="C581">
        <v>1</v>
      </c>
    </row>
    <row r="582" spans="1:3" x14ac:dyDescent="0.25">
      <c r="A582">
        <v>581</v>
      </c>
      <c r="B582" t="s">
        <v>625</v>
      </c>
      <c r="C582">
        <v>2</v>
      </c>
    </row>
    <row r="583" spans="1:3" x14ac:dyDescent="0.25">
      <c r="A583">
        <v>582</v>
      </c>
      <c r="B583" t="s">
        <v>626</v>
      </c>
      <c r="C583">
        <v>1</v>
      </c>
    </row>
    <row r="584" spans="1:3" x14ac:dyDescent="0.25">
      <c r="A584">
        <v>583</v>
      </c>
      <c r="B584" t="s">
        <v>627</v>
      </c>
      <c r="C584">
        <v>2</v>
      </c>
    </row>
    <row r="585" spans="1:3" x14ac:dyDescent="0.25">
      <c r="A585">
        <v>584</v>
      </c>
      <c r="B585" t="s">
        <v>628</v>
      </c>
      <c r="C585">
        <v>4</v>
      </c>
    </row>
    <row r="586" spans="1:3" x14ac:dyDescent="0.25">
      <c r="A586">
        <v>585</v>
      </c>
      <c r="B586" t="s">
        <v>629</v>
      </c>
      <c r="C586">
        <v>1</v>
      </c>
    </row>
    <row r="587" spans="1:3" x14ac:dyDescent="0.25">
      <c r="A587">
        <v>586</v>
      </c>
      <c r="B587" t="s">
        <v>630</v>
      </c>
      <c r="C587">
        <v>1</v>
      </c>
    </row>
    <row r="588" spans="1:3" x14ac:dyDescent="0.25">
      <c r="A588">
        <v>587</v>
      </c>
      <c r="B588" t="s">
        <v>631</v>
      </c>
      <c r="C588">
        <v>1</v>
      </c>
    </row>
    <row r="589" spans="1:3" x14ac:dyDescent="0.25">
      <c r="A589">
        <v>588</v>
      </c>
      <c r="B589" t="s">
        <v>632</v>
      </c>
      <c r="C589">
        <v>1</v>
      </c>
    </row>
    <row r="590" spans="1:3" x14ac:dyDescent="0.25">
      <c r="A590">
        <v>589</v>
      </c>
      <c r="B590" t="s">
        <v>633</v>
      </c>
      <c r="C590">
        <v>1</v>
      </c>
    </row>
    <row r="591" spans="1:3" x14ac:dyDescent="0.25">
      <c r="A591">
        <v>590</v>
      </c>
      <c r="B591" t="s">
        <v>634</v>
      </c>
      <c r="C591">
        <v>2</v>
      </c>
    </row>
    <row r="592" spans="1:3" x14ac:dyDescent="0.25">
      <c r="A592">
        <v>591</v>
      </c>
      <c r="B592" t="s">
        <v>635</v>
      </c>
      <c r="C592">
        <v>4</v>
      </c>
    </row>
    <row r="593" spans="1:3" x14ac:dyDescent="0.25">
      <c r="A593">
        <v>592</v>
      </c>
      <c r="B593" t="s">
        <v>636</v>
      </c>
      <c r="C593">
        <v>1</v>
      </c>
    </row>
    <row r="594" spans="1:3" x14ac:dyDescent="0.25">
      <c r="A594">
        <v>593</v>
      </c>
      <c r="B594" t="s">
        <v>637</v>
      </c>
      <c r="C594">
        <v>2</v>
      </c>
    </row>
    <row r="595" spans="1:3" x14ac:dyDescent="0.25">
      <c r="A595">
        <v>594</v>
      </c>
      <c r="B595" t="s">
        <v>638</v>
      </c>
      <c r="C595">
        <v>1</v>
      </c>
    </row>
    <row r="596" spans="1:3" x14ac:dyDescent="0.25">
      <c r="A596">
        <v>595</v>
      </c>
      <c r="B596" t="s">
        <v>639</v>
      </c>
      <c r="C596">
        <v>1</v>
      </c>
    </row>
    <row r="597" spans="1:3" x14ac:dyDescent="0.25">
      <c r="A597">
        <v>596</v>
      </c>
      <c r="B597" t="s">
        <v>640</v>
      </c>
      <c r="C597">
        <v>1</v>
      </c>
    </row>
    <row r="598" spans="1:3" x14ac:dyDescent="0.25">
      <c r="A598">
        <v>597</v>
      </c>
      <c r="B598" t="s">
        <v>641</v>
      </c>
      <c r="C598">
        <v>2</v>
      </c>
    </row>
    <row r="599" spans="1:3" x14ac:dyDescent="0.25">
      <c r="A599">
        <v>598</v>
      </c>
      <c r="B599" t="s">
        <v>642</v>
      </c>
      <c r="C599">
        <v>3</v>
      </c>
    </row>
    <row r="600" spans="1:3" x14ac:dyDescent="0.25">
      <c r="A600">
        <v>599</v>
      </c>
      <c r="B600" t="s">
        <v>643</v>
      </c>
      <c r="C600">
        <v>4</v>
      </c>
    </row>
    <row r="601" spans="1:3" x14ac:dyDescent="0.25">
      <c r="A601">
        <v>600</v>
      </c>
      <c r="B601" t="s">
        <v>644</v>
      </c>
      <c r="C601">
        <v>4</v>
      </c>
    </row>
    <row r="602" spans="1:3" x14ac:dyDescent="0.25">
      <c r="A602">
        <v>601</v>
      </c>
      <c r="B602" t="s">
        <v>645</v>
      </c>
      <c r="C602">
        <v>1</v>
      </c>
    </row>
    <row r="603" spans="1:3" x14ac:dyDescent="0.25">
      <c r="A603">
        <v>602</v>
      </c>
      <c r="B603" t="s">
        <v>646</v>
      </c>
      <c r="C603">
        <v>1</v>
      </c>
    </row>
    <row r="604" spans="1:3" x14ac:dyDescent="0.25">
      <c r="A604">
        <v>603</v>
      </c>
      <c r="B604" t="s">
        <v>647</v>
      </c>
      <c r="C604">
        <v>1</v>
      </c>
    </row>
    <row r="605" spans="1:3" x14ac:dyDescent="0.25">
      <c r="A605">
        <v>604</v>
      </c>
      <c r="B605" t="s">
        <v>648</v>
      </c>
      <c r="C605">
        <v>1</v>
      </c>
    </row>
    <row r="606" spans="1:3" x14ac:dyDescent="0.25">
      <c r="A606">
        <v>605</v>
      </c>
      <c r="B606" t="s">
        <v>649</v>
      </c>
      <c r="C606">
        <v>1</v>
      </c>
    </row>
    <row r="607" spans="1:3" x14ac:dyDescent="0.25">
      <c r="A607">
        <v>606</v>
      </c>
      <c r="B607" t="s">
        <v>650</v>
      </c>
      <c r="C607">
        <v>1</v>
      </c>
    </row>
    <row r="608" spans="1:3" x14ac:dyDescent="0.25">
      <c r="A608">
        <v>607</v>
      </c>
      <c r="B608" t="s">
        <v>651</v>
      </c>
      <c r="C608">
        <v>4</v>
      </c>
    </row>
    <row r="609" spans="1:3" x14ac:dyDescent="0.25">
      <c r="A609">
        <v>608</v>
      </c>
      <c r="B609" t="s">
        <v>652</v>
      </c>
      <c r="C609">
        <v>1</v>
      </c>
    </row>
    <row r="610" spans="1:3" x14ac:dyDescent="0.25">
      <c r="A610">
        <v>609</v>
      </c>
      <c r="B610" t="s">
        <v>653</v>
      </c>
      <c r="C610">
        <v>1</v>
      </c>
    </row>
    <row r="611" spans="1:3" x14ac:dyDescent="0.25">
      <c r="A611">
        <v>610</v>
      </c>
      <c r="B611" t="s">
        <v>654</v>
      </c>
      <c r="C611">
        <v>3</v>
      </c>
    </row>
    <row r="612" spans="1:3" x14ac:dyDescent="0.25">
      <c r="A612">
        <v>611</v>
      </c>
      <c r="B612" t="s">
        <v>655</v>
      </c>
      <c r="C612">
        <v>4</v>
      </c>
    </row>
    <row r="613" spans="1:3" x14ac:dyDescent="0.25">
      <c r="A613">
        <v>612</v>
      </c>
      <c r="B613" t="s">
        <v>656</v>
      </c>
      <c r="C613">
        <v>1</v>
      </c>
    </row>
    <row r="614" spans="1:3" x14ac:dyDescent="0.25">
      <c r="A614">
        <v>613</v>
      </c>
      <c r="B614" t="s">
        <v>657</v>
      </c>
      <c r="C614">
        <v>1</v>
      </c>
    </row>
    <row r="615" spans="1:3" x14ac:dyDescent="0.25">
      <c r="A615">
        <v>614</v>
      </c>
      <c r="B615" t="s">
        <v>658</v>
      </c>
      <c r="C615">
        <v>1</v>
      </c>
    </row>
    <row r="616" spans="1:3" x14ac:dyDescent="0.25">
      <c r="A616">
        <v>615</v>
      </c>
      <c r="B616" t="s">
        <v>659</v>
      </c>
      <c r="C616">
        <v>1</v>
      </c>
    </row>
    <row r="617" spans="1:3" x14ac:dyDescent="0.25">
      <c r="A617">
        <v>616</v>
      </c>
      <c r="B617" t="s">
        <v>660</v>
      </c>
      <c r="C617">
        <v>2</v>
      </c>
    </row>
    <row r="618" spans="1:3" x14ac:dyDescent="0.25">
      <c r="A618">
        <v>617</v>
      </c>
      <c r="B618" t="s">
        <v>661</v>
      </c>
      <c r="C618">
        <v>5</v>
      </c>
    </row>
    <row r="619" spans="1:3" x14ac:dyDescent="0.25">
      <c r="A619">
        <v>618</v>
      </c>
      <c r="B619" t="s">
        <v>662</v>
      </c>
      <c r="C619">
        <v>1</v>
      </c>
    </row>
    <row r="620" spans="1:3" x14ac:dyDescent="0.25">
      <c r="A620">
        <v>619</v>
      </c>
      <c r="B620" t="s">
        <v>663</v>
      </c>
      <c r="C620">
        <v>1</v>
      </c>
    </row>
    <row r="621" spans="1:3" x14ac:dyDescent="0.25">
      <c r="A621">
        <v>620</v>
      </c>
      <c r="B621" t="s">
        <v>664</v>
      </c>
      <c r="C621">
        <v>1</v>
      </c>
    </row>
    <row r="622" spans="1:3" x14ac:dyDescent="0.25">
      <c r="A622">
        <v>621</v>
      </c>
      <c r="B622" t="s">
        <v>665</v>
      </c>
      <c r="C622">
        <v>2</v>
      </c>
    </row>
    <row r="623" spans="1:3" x14ac:dyDescent="0.25">
      <c r="A623">
        <v>622</v>
      </c>
      <c r="B623" t="s">
        <v>666</v>
      </c>
      <c r="C623">
        <v>3</v>
      </c>
    </row>
    <row r="624" spans="1:3" x14ac:dyDescent="0.25">
      <c r="A624">
        <v>623</v>
      </c>
      <c r="B624" t="s">
        <v>667</v>
      </c>
      <c r="C624">
        <v>5</v>
      </c>
    </row>
    <row r="625" spans="1:3" x14ac:dyDescent="0.25">
      <c r="A625">
        <v>624</v>
      </c>
      <c r="B625" t="s">
        <v>668</v>
      </c>
      <c r="C625">
        <v>2</v>
      </c>
    </row>
    <row r="626" spans="1:3" x14ac:dyDescent="0.25">
      <c r="A626">
        <v>625</v>
      </c>
      <c r="B626" t="s">
        <v>669</v>
      </c>
      <c r="C626">
        <v>1</v>
      </c>
    </row>
    <row r="627" spans="1:3" x14ac:dyDescent="0.25">
      <c r="A627">
        <v>626</v>
      </c>
      <c r="B627" t="s">
        <v>670</v>
      </c>
      <c r="C627">
        <v>2</v>
      </c>
    </row>
    <row r="628" spans="1:3" x14ac:dyDescent="0.25">
      <c r="A628">
        <v>627</v>
      </c>
      <c r="B628" t="s">
        <v>671</v>
      </c>
      <c r="C628">
        <v>1</v>
      </c>
    </row>
    <row r="629" spans="1:3" x14ac:dyDescent="0.25">
      <c r="A629">
        <v>628</v>
      </c>
      <c r="B629" t="s">
        <v>672</v>
      </c>
      <c r="C629">
        <v>1</v>
      </c>
    </row>
    <row r="630" spans="1:3" x14ac:dyDescent="0.25">
      <c r="A630">
        <v>629</v>
      </c>
      <c r="B630" t="s">
        <v>673</v>
      </c>
      <c r="C630">
        <v>1</v>
      </c>
    </row>
    <row r="631" spans="1:3" x14ac:dyDescent="0.25">
      <c r="A631">
        <v>630</v>
      </c>
      <c r="B631" t="s">
        <v>674</v>
      </c>
      <c r="C631">
        <v>1</v>
      </c>
    </row>
    <row r="632" spans="1:3" x14ac:dyDescent="0.25">
      <c r="A632">
        <v>631</v>
      </c>
      <c r="B632" t="s">
        <v>675</v>
      </c>
      <c r="C632">
        <v>6</v>
      </c>
    </row>
    <row r="633" spans="1:3" x14ac:dyDescent="0.25">
      <c r="A633">
        <v>632</v>
      </c>
      <c r="B633" t="s">
        <v>676</v>
      </c>
      <c r="C633">
        <v>2</v>
      </c>
    </row>
    <row r="634" spans="1:3" x14ac:dyDescent="0.25">
      <c r="A634">
        <v>633</v>
      </c>
      <c r="B634" t="s">
        <v>677</v>
      </c>
      <c r="C634">
        <v>3</v>
      </c>
    </row>
    <row r="635" spans="1:3" x14ac:dyDescent="0.25">
      <c r="A635">
        <v>634</v>
      </c>
      <c r="B635" t="s">
        <v>678</v>
      </c>
      <c r="C635">
        <v>5</v>
      </c>
    </row>
    <row r="636" spans="1:3" x14ac:dyDescent="0.25">
      <c r="A636">
        <v>635</v>
      </c>
      <c r="B636" t="s">
        <v>679</v>
      </c>
      <c r="C636">
        <v>1</v>
      </c>
    </row>
    <row r="637" spans="1:3" x14ac:dyDescent="0.25">
      <c r="A637">
        <v>636</v>
      </c>
      <c r="B637" t="s">
        <v>680</v>
      </c>
      <c r="C637">
        <v>2</v>
      </c>
    </row>
    <row r="638" spans="1:3" x14ac:dyDescent="0.25">
      <c r="A638">
        <v>637</v>
      </c>
      <c r="B638" t="s">
        <v>681</v>
      </c>
      <c r="C638">
        <v>3</v>
      </c>
    </row>
    <row r="639" spans="1:3" x14ac:dyDescent="0.25">
      <c r="A639">
        <v>638</v>
      </c>
      <c r="B639" t="s">
        <v>682</v>
      </c>
      <c r="C639">
        <v>1</v>
      </c>
    </row>
    <row r="640" spans="1:3" x14ac:dyDescent="0.25">
      <c r="A640">
        <v>639</v>
      </c>
      <c r="B640" t="s">
        <v>683</v>
      </c>
      <c r="C640">
        <v>4</v>
      </c>
    </row>
    <row r="641" spans="1:3" x14ac:dyDescent="0.25">
      <c r="A641">
        <v>640</v>
      </c>
      <c r="B641" t="s">
        <v>684</v>
      </c>
      <c r="C641">
        <v>1</v>
      </c>
    </row>
    <row r="642" spans="1:3" x14ac:dyDescent="0.25">
      <c r="A642">
        <v>641</v>
      </c>
      <c r="B642" t="s">
        <v>685</v>
      </c>
      <c r="C642">
        <v>6</v>
      </c>
    </row>
    <row r="643" spans="1:3" x14ac:dyDescent="0.25">
      <c r="A643">
        <v>642</v>
      </c>
      <c r="B643" t="s">
        <v>686</v>
      </c>
      <c r="C643">
        <v>1</v>
      </c>
    </row>
    <row r="644" spans="1:3" x14ac:dyDescent="0.25">
      <c r="A644">
        <v>643</v>
      </c>
      <c r="B644" t="s">
        <v>687</v>
      </c>
      <c r="C644">
        <v>2</v>
      </c>
    </row>
    <row r="645" spans="1:3" x14ac:dyDescent="0.25">
      <c r="A645">
        <v>644</v>
      </c>
      <c r="B645" t="s">
        <v>688</v>
      </c>
      <c r="C645">
        <v>5</v>
      </c>
    </row>
    <row r="646" spans="1:3" x14ac:dyDescent="0.25">
      <c r="A646">
        <v>645</v>
      </c>
      <c r="B646" t="s">
        <v>689</v>
      </c>
      <c r="C646">
        <v>2</v>
      </c>
    </row>
    <row r="647" spans="1:3" x14ac:dyDescent="0.25">
      <c r="A647">
        <v>646</v>
      </c>
      <c r="B647" t="s">
        <v>690</v>
      </c>
      <c r="C647">
        <v>3</v>
      </c>
    </row>
    <row r="648" spans="1:3" x14ac:dyDescent="0.25">
      <c r="A648">
        <v>647</v>
      </c>
      <c r="B648" t="s">
        <v>691</v>
      </c>
      <c r="C648">
        <v>1</v>
      </c>
    </row>
    <row r="649" spans="1:3" x14ac:dyDescent="0.25">
      <c r="A649">
        <v>648</v>
      </c>
      <c r="B649" t="s">
        <v>692</v>
      </c>
      <c r="C649">
        <v>1</v>
      </c>
    </row>
    <row r="650" spans="1:3" x14ac:dyDescent="0.25">
      <c r="A650">
        <v>649</v>
      </c>
      <c r="B650" t="s">
        <v>693</v>
      </c>
      <c r="C650">
        <v>1</v>
      </c>
    </row>
    <row r="651" spans="1:3" x14ac:dyDescent="0.25">
      <c r="A651">
        <v>650</v>
      </c>
      <c r="B651" t="s">
        <v>694</v>
      </c>
      <c r="C651">
        <v>1</v>
      </c>
    </row>
    <row r="652" spans="1:3" x14ac:dyDescent="0.25">
      <c r="A652">
        <v>651</v>
      </c>
      <c r="B652" t="s">
        <v>695</v>
      </c>
      <c r="C652">
        <v>2</v>
      </c>
    </row>
    <row r="653" spans="1:3" x14ac:dyDescent="0.25">
      <c r="A653">
        <v>652</v>
      </c>
      <c r="B653" t="s">
        <v>696</v>
      </c>
      <c r="C653">
        <v>1</v>
      </c>
    </row>
    <row r="654" spans="1:3" x14ac:dyDescent="0.25">
      <c r="A654">
        <v>653</v>
      </c>
      <c r="B654" t="s">
        <v>697</v>
      </c>
      <c r="C654">
        <v>1</v>
      </c>
    </row>
    <row r="655" spans="1:3" x14ac:dyDescent="0.25">
      <c r="A655">
        <v>654</v>
      </c>
      <c r="B655" t="s">
        <v>698</v>
      </c>
      <c r="C655">
        <v>1</v>
      </c>
    </row>
    <row r="656" spans="1:3" x14ac:dyDescent="0.25">
      <c r="A656">
        <v>655</v>
      </c>
      <c r="B656" t="s">
        <v>699</v>
      </c>
      <c r="C656">
        <v>1</v>
      </c>
    </row>
    <row r="657" spans="1:3" x14ac:dyDescent="0.25">
      <c r="A657">
        <v>656</v>
      </c>
      <c r="B657" t="s">
        <v>700</v>
      </c>
      <c r="C657">
        <v>5</v>
      </c>
    </row>
    <row r="658" spans="1:3" x14ac:dyDescent="0.25">
      <c r="A658">
        <v>657</v>
      </c>
      <c r="B658" t="s">
        <v>701</v>
      </c>
      <c r="C658">
        <v>3</v>
      </c>
    </row>
    <row r="659" spans="1:3" x14ac:dyDescent="0.25">
      <c r="A659">
        <v>658</v>
      </c>
      <c r="B659" t="s">
        <v>702</v>
      </c>
      <c r="C659">
        <v>1</v>
      </c>
    </row>
    <row r="660" spans="1:3" x14ac:dyDescent="0.25">
      <c r="A660">
        <v>659</v>
      </c>
      <c r="B660" t="s">
        <v>703</v>
      </c>
      <c r="C660">
        <v>1</v>
      </c>
    </row>
    <row r="661" spans="1:3" x14ac:dyDescent="0.25">
      <c r="A661">
        <v>660</v>
      </c>
      <c r="B661" t="s">
        <v>704</v>
      </c>
      <c r="C661">
        <v>1</v>
      </c>
    </row>
    <row r="662" spans="1:3" x14ac:dyDescent="0.25">
      <c r="A662">
        <v>661</v>
      </c>
      <c r="B662" t="s">
        <v>705</v>
      </c>
      <c r="C662">
        <v>1</v>
      </c>
    </row>
    <row r="663" spans="1:3" x14ac:dyDescent="0.25">
      <c r="A663">
        <v>662</v>
      </c>
      <c r="B663" t="s">
        <v>706</v>
      </c>
      <c r="C663">
        <v>1</v>
      </c>
    </row>
    <row r="664" spans="1:3" x14ac:dyDescent="0.25">
      <c r="A664">
        <v>663</v>
      </c>
      <c r="B664" t="s">
        <v>707</v>
      </c>
      <c r="C664">
        <v>1</v>
      </c>
    </row>
    <row r="665" spans="1:3" x14ac:dyDescent="0.25">
      <c r="A665">
        <v>664</v>
      </c>
      <c r="B665" t="s">
        <v>708</v>
      </c>
      <c r="C665">
        <v>2</v>
      </c>
    </row>
    <row r="666" spans="1:3" x14ac:dyDescent="0.25">
      <c r="A666">
        <v>665</v>
      </c>
      <c r="B666" t="s">
        <v>709</v>
      </c>
      <c r="C666">
        <v>1</v>
      </c>
    </row>
    <row r="667" spans="1:3" x14ac:dyDescent="0.25">
      <c r="A667">
        <v>666</v>
      </c>
      <c r="B667" t="s">
        <v>710</v>
      </c>
      <c r="C667">
        <v>1</v>
      </c>
    </row>
    <row r="668" spans="1:3" x14ac:dyDescent="0.25">
      <c r="A668">
        <v>667</v>
      </c>
      <c r="B668" t="s">
        <v>711</v>
      </c>
      <c r="C668">
        <v>1</v>
      </c>
    </row>
    <row r="669" spans="1:3" x14ac:dyDescent="0.25">
      <c r="A669">
        <v>668</v>
      </c>
      <c r="B669" t="s">
        <v>712</v>
      </c>
      <c r="C669">
        <v>1</v>
      </c>
    </row>
    <row r="670" spans="1:3" x14ac:dyDescent="0.25">
      <c r="A670">
        <v>669</v>
      </c>
      <c r="B670" t="s">
        <v>713</v>
      </c>
      <c r="C670">
        <v>1</v>
      </c>
    </row>
    <row r="671" spans="1:3" x14ac:dyDescent="0.25">
      <c r="A671">
        <v>670</v>
      </c>
      <c r="B671" t="s">
        <v>714</v>
      </c>
      <c r="C671">
        <v>4</v>
      </c>
    </row>
    <row r="672" spans="1:3" x14ac:dyDescent="0.25">
      <c r="A672">
        <v>671</v>
      </c>
      <c r="B672" t="s">
        <v>715</v>
      </c>
      <c r="C672">
        <v>1</v>
      </c>
    </row>
    <row r="673" spans="1:3" x14ac:dyDescent="0.25">
      <c r="A673">
        <v>672</v>
      </c>
      <c r="B673" t="s">
        <v>716</v>
      </c>
      <c r="C673">
        <v>5</v>
      </c>
    </row>
    <row r="674" spans="1:3" x14ac:dyDescent="0.25">
      <c r="A674">
        <v>673</v>
      </c>
      <c r="B674" t="s">
        <v>717</v>
      </c>
      <c r="C674">
        <v>1</v>
      </c>
    </row>
    <row r="675" spans="1:3" x14ac:dyDescent="0.25">
      <c r="A675">
        <v>674</v>
      </c>
      <c r="B675" t="s">
        <v>718</v>
      </c>
      <c r="C675">
        <v>1</v>
      </c>
    </row>
    <row r="676" spans="1:3" x14ac:dyDescent="0.25">
      <c r="A676">
        <v>675</v>
      </c>
      <c r="B676" t="s">
        <v>719</v>
      </c>
      <c r="C676">
        <v>1</v>
      </c>
    </row>
    <row r="677" spans="1:3" x14ac:dyDescent="0.25">
      <c r="A677">
        <v>676</v>
      </c>
      <c r="B677" t="s">
        <v>720</v>
      </c>
      <c r="C677">
        <v>2</v>
      </c>
    </row>
    <row r="678" spans="1:3" x14ac:dyDescent="0.25">
      <c r="A678">
        <v>677</v>
      </c>
      <c r="B678" t="s">
        <v>721</v>
      </c>
      <c r="C678">
        <v>4</v>
      </c>
    </row>
    <row r="679" spans="1:3" x14ac:dyDescent="0.25">
      <c r="A679">
        <v>678</v>
      </c>
      <c r="B679" t="s">
        <v>722</v>
      </c>
      <c r="C679">
        <v>2</v>
      </c>
    </row>
    <row r="680" spans="1:3" x14ac:dyDescent="0.25">
      <c r="A680">
        <v>679</v>
      </c>
      <c r="B680" t="s">
        <v>723</v>
      </c>
      <c r="C680">
        <v>1</v>
      </c>
    </row>
    <row r="681" spans="1:3" x14ac:dyDescent="0.25">
      <c r="A681">
        <v>680</v>
      </c>
      <c r="B681" t="s">
        <v>724</v>
      </c>
      <c r="C681">
        <v>1</v>
      </c>
    </row>
    <row r="682" spans="1:3" x14ac:dyDescent="0.25">
      <c r="A682">
        <v>681</v>
      </c>
      <c r="B682" t="s">
        <v>725</v>
      </c>
      <c r="C682">
        <v>6</v>
      </c>
    </row>
    <row r="683" spans="1:3" x14ac:dyDescent="0.25">
      <c r="A683">
        <v>682</v>
      </c>
      <c r="B683" t="s">
        <v>726</v>
      </c>
      <c r="C683">
        <v>1</v>
      </c>
    </row>
    <row r="684" spans="1:3" x14ac:dyDescent="0.25">
      <c r="A684">
        <v>683</v>
      </c>
      <c r="B684" t="s">
        <v>727</v>
      </c>
      <c r="C684">
        <v>1</v>
      </c>
    </row>
    <row r="685" spans="1:3" x14ac:dyDescent="0.25">
      <c r="A685">
        <v>684</v>
      </c>
      <c r="B685" t="s">
        <v>728</v>
      </c>
      <c r="C685">
        <v>1</v>
      </c>
    </row>
    <row r="686" spans="1:3" x14ac:dyDescent="0.25">
      <c r="A686">
        <v>685</v>
      </c>
      <c r="B686" t="s">
        <v>729</v>
      </c>
      <c r="C686">
        <v>1</v>
      </c>
    </row>
    <row r="687" spans="1:3" x14ac:dyDescent="0.25">
      <c r="A687">
        <v>686</v>
      </c>
      <c r="B687" t="s">
        <v>730</v>
      </c>
      <c r="C687">
        <v>2</v>
      </c>
    </row>
    <row r="688" spans="1:3" x14ac:dyDescent="0.25">
      <c r="A688">
        <v>687</v>
      </c>
      <c r="B688" t="s">
        <v>731</v>
      </c>
      <c r="C688">
        <v>1</v>
      </c>
    </row>
    <row r="689" spans="1:3" x14ac:dyDescent="0.25">
      <c r="A689">
        <v>688</v>
      </c>
      <c r="B689" t="s">
        <v>732</v>
      </c>
      <c r="C689">
        <v>1</v>
      </c>
    </row>
    <row r="690" spans="1:3" x14ac:dyDescent="0.25">
      <c r="A690">
        <v>689</v>
      </c>
      <c r="B690" t="s">
        <v>733</v>
      </c>
      <c r="C690">
        <v>2</v>
      </c>
    </row>
    <row r="691" spans="1:3" x14ac:dyDescent="0.25">
      <c r="A691">
        <v>690</v>
      </c>
      <c r="B691" t="s">
        <v>734</v>
      </c>
      <c r="C691">
        <v>3</v>
      </c>
    </row>
    <row r="692" spans="1:3" x14ac:dyDescent="0.25">
      <c r="A692">
        <v>691</v>
      </c>
      <c r="B692" t="s">
        <v>735</v>
      </c>
      <c r="C692">
        <v>5</v>
      </c>
    </row>
    <row r="693" spans="1:3" x14ac:dyDescent="0.25">
      <c r="A693">
        <v>692</v>
      </c>
      <c r="B693" t="s">
        <v>736</v>
      </c>
      <c r="C693">
        <v>1</v>
      </c>
    </row>
    <row r="694" spans="1:3" x14ac:dyDescent="0.25">
      <c r="A694">
        <v>693</v>
      </c>
      <c r="B694" t="s">
        <v>737</v>
      </c>
      <c r="C694">
        <v>2</v>
      </c>
    </row>
    <row r="695" spans="1:3" x14ac:dyDescent="0.25">
      <c r="A695">
        <v>694</v>
      </c>
      <c r="B695" t="s">
        <v>738</v>
      </c>
      <c r="C695">
        <v>1</v>
      </c>
    </row>
    <row r="696" spans="1:3" x14ac:dyDescent="0.25">
      <c r="A696">
        <v>695</v>
      </c>
      <c r="B696" t="s">
        <v>739</v>
      </c>
      <c r="C696">
        <v>1</v>
      </c>
    </row>
    <row r="697" spans="1:3" x14ac:dyDescent="0.25">
      <c r="A697">
        <v>696</v>
      </c>
      <c r="B697" t="s">
        <v>740</v>
      </c>
      <c r="C697">
        <v>1</v>
      </c>
    </row>
    <row r="698" spans="1:3" x14ac:dyDescent="0.25">
      <c r="A698">
        <v>697</v>
      </c>
      <c r="B698" t="s">
        <v>741</v>
      </c>
      <c r="C698">
        <v>5</v>
      </c>
    </row>
    <row r="699" spans="1:3" x14ac:dyDescent="0.25">
      <c r="A699">
        <v>698</v>
      </c>
      <c r="B699" t="s">
        <v>742</v>
      </c>
      <c r="C699">
        <v>1</v>
      </c>
    </row>
    <row r="700" spans="1:3" x14ac:dyDescent="0.25">
      <c r="A700">
        <v>699</v>
      </c>
      <c r="B700" t="s">
        <v>743</v>
      </c>
      <c r="C700">
        <v>1</v>
      </c>
    </row>
    <row r="701" spans="1:3" x14ac:dyDescent="0.25">
      <c r="A701">
        <v>700</v>
      </c>
      <c r="B701" t="s">
        <v>744</v>
      </c>
      <c r="C701">
        <v>1</v>
      </c>
    </row>
    <row r="702" spans="1:3" x14ac:dyDescent="0.25">
      <c r="A702">
        <v>701</v>
      </c>
      <c r="B702" t="s">
        <v>745</v>
      </c>
      <c r="C702">
        <v>1</v>
      </c>
    </row>
    <row r="703" spans="1:3" x14ac:dyDescent="0.25">
      <c r="A703">
        <v>702</v>
      </c>
      <c r="B703" t="s">
        <v>746</v>
      </c>
      <c r="C703">
        <v>1</v>
      </c>
    </row>
    <row r="704" spans="1:3" x14ac:dyDescent="0.25">
      <c r="A704">
        <v>703</v>
      </c>
      <c r="B704" t="s">
        <v>747</v>
      </c>
      <c r="C704">
        <v>1</v>
      </c>
    </row>
    <row r="705" spans="1:3" x14ac:dyDescent="0.25">
      <c r="A705">
        <v>704</v>
      </c>
      <c r="B705" t="s">
        <v>748</v>
      </c>
      <c r="C705">
        <v>5</v>
      </c>
    </row>
    <row r="706" spans="1:3" x14ac:dyDescent="0.25">
      <c r="A706">
        <v>705</v>
      </c>
      <c r="B706" t="s">
        <v>749</v>
      </c>
      <c r="C706">
        <v>1</v>
      </c>
    </row>
    <row r="707" spans="1:3" x14ac:dyDescent="0.25">
      <c r="A707">
        <v>706</v>
      </c>
      <c r="B707" t="s">
        <v>750</v>
      </c>
      <c r="C707">
        <v>1</v>
      </c>
    </row>
    <row r="708" spans="1:3" x14ac:dyDescent="0.25">
      <c r="A708">
        <v>707</v>
      </c>
      <c r="B708" t="s">
        <v>751</v>
      </c>
      <c r="C708">
        <v>2</v>
      </c>
    </row>
    <row r="709" spans="1:3" x14ac:dyDescent="0.25">
      <c r="A709">
        <v>708</v>
      </c>
      <c r="B709" t="s">
        <v>752</v>
      </c>
      <c r="C709">
        <v>1</v>
      </c>
    </row>
    <row r="710" spans="1:3" x14ac:dyDescent="0.25">
      <c r="A710">
        <v>709</v>
      </c>
      <c r="B710" t="s">
        <v>753</v>
      </c>
      <c r="C710">
        <v>1</v>
      </c>
    </row>
    <row r="711" spans="1:3" x14ac:dyDescent="0.25">
      <c r="A711">
        <v>710</v>
      </c>
      <c r="B711" t="s">
        <v>754</v>
      </c>
      <c r="C711">
        <v>1</v>
      </c>
    </row>
    <row r="712" spans="1:3" x14ac:dyDescent="0.25">
      <c r="A712">
        <v>711</v>
      </c>
      <c r="B712" t="s">
        <v>755</v>
      </c>
      <c r="C712">
        <v>1</v>
      </c>
    </row>
    <row r="713" spans="1:3" x14ac:dyDescent="0.25">
      <c r="A713">
        <v>712</v>
      </c>
      <c r="B713" t="s">
        <v>756</v>
      </c>
      <c r="C713">
        <v>5</v>
      </c>
    </row>
    <row r="714" spans="1:3" x14ac:dyDescent="0.25">
      <c r="A714">
        <v>713</v>
      </c>
      <c r="B714" t="s">
        <v>757</v>
      </c>
      <c r="C714">
        <v>1</v>
      </c>
    </row>
    <row r="715" spans="1:3" x14ac:dyDescent="0.25">
      <c r="A715">
        <v>714</v>
      </c>
      <c r="B715" t="s">
        <v>758</v>
      </c>
      <c r="C715">
        <v>1</v>
      </c>
    </row>
    <row r="716" spans="1:3" x14ac:dyDescent="0.25">
      <c r="A716">
        <v>715</v>
      </c>
      <c r="B716" t="s">
        <v>759</v>
      </c>
      <c r="C716">
        <v>1</v>
      </c>
    </row>
    <row r="717" spans="1:3" x14ac:dyDescent="0.25">
      <c r="A717">
        <v>716</v>
      </c>
      <c r="B717" t="s">
        <v>760</v>
      </c>
      <c r="C717">
        <v>1</v>
      </c>
    </row>
    <row r="718" spans="1:3" x14ac:dyDescent="0.25">
      <c r="A718">
        <v>717</v>
      </c>
      <c r="B718" t="s">
        <v>761</v>
      </c>
      <c r="C718">
        <v>1</v>
      </c>
    </row>
    <row r="719" spans="1:3" x14ac:dyDescent="0.25">
      <c r="A719">
        <v>718</v>
      </c>
      <c r="B719" t="s">
        <v>762</v>
      </c>
      <c r="C719">
        <v>1</v>
      </c>
    </row>
    <row r="720" spans="1:3" x14ac:dyDescent="0.25">
      <c r="A720">
        <v>719</v>
      </c>
      <c r="B720" t="s">
        <v>763</v>
      </c>
      <c r="C720">
        <v>1</v>
      </c>
    </row>
    <row r="721" spans="1:3" x14ac:dyDescent="0.25">
      <c r="A721">
        <v>720</v>
      </c>
      <c r="B721" t="s">
        <v>764</v>
      </c>
      <c r="C721">
        <v>4</v>
      </c>
    </row>
    <row r="722" spans="1:3" x14ac:dyDescent="0.25">
      <c r="A722">
        <v>721</v>
      </c>
      <c r="B722" t="s">
        <v>765</v>
      </c>
      <c r="C722">
        <v>1</v>
      </c>
    </row>
    <row r="723" spans="1:3" x14ac:dyDescent="0.25">
      <c r="A723">
        <v>722</v>
      </c>
      <c r="B723" t="s">
        <v>766</v>
      </c>
      <c r="C723">
        <v>2</v>
      </c>
    </row>
    <row r="724" spans="1:3" x14ac:dyDescent="0.25">
      <c r="A724">
        <v>723</v>
      </c>
      <c r="B724" t="s">
        <v>767</v>
      </c>
      <c r="C724">
        <v>1</v>
      </c>
    </row>
    <row r="725" spans="1:3" x14ac:dyDescent="0.25">
      <c r="A725">
        <v>724</v>
      </c>
      <c r="B725" t="s">
        <v>768</v>
      </c>
      <c r="C725">
        <v>4</v>
      </c>
    </row>
    <row r="726" spans="1:3" x14ac:dyDescent="0.25">
      <c r="A726">
        <v>725</v>
      </c>
      <c r="B726" t="s">
        <v>769</v>
      </c>
      <c r="C726">
        <v>1</v>
      </c>
    </row>
    <row r="727" spans="1:3" x14ac:dyDescent="0.25">
      <c r="A727">
        <v>726</v>
      </c>
      <c r="B727" t="s">
        <v>770</v>
      </c>
      <c r="C727">
        <v>1</v>
      </c>
    </row>
    <row r="728" spans="1:3" x14ac:dyDescent="0.25">
      <c r="A728">
        <v>727</v>
      </c>
      <c r="B728" t="s">
        <v>771</v>
      </c>
      <c r="C728">
        <v>1</v>
      </c>
    </row>
    <row r="729" spans="1:3" x14ac:dyDescent="0.25">
      <c r="A729">
        <v>728</v>
      </c>
      <c r="B729" t="s">
        <v>772</v>
      </c>
      <c r="C729">
        <v>2</v>
      </c>
    </row>
    <row r="730" spans="1:3" x14ac:dyDescent="0.25">
      <c r="A730">
        <v>729</v>
      </c>
      <c r="B730" t="s">
        <v>773</v>
      </c>
      <c r="C730">
        <v>4</v>
      </c>
    </row>
    <row r="731" spans="1:3" x14ac:dyDescent="0.25">
      <c r="A731">
        <v>730</v>
      </c>
      <c r="B731" t="s">
        <v>774</v>
      </c>
      <c r="C731">
        <v>6</v>
      </c>
    </row>
    <row r="732" spans="1:3" x14ac:dyDescent="0.25">
      <c r="A732">
        <v>731</v>
      </c>
      <c r="B732" t="s">
        <v>775</v>
      </c>
      <c r="C732">
        <v>5</v>
      </c>
    </row>
    <row r="733" spans="1:3" x14ac:dyDescent="0.25">
      <c r="A733">
        <v>732</v>
      </c>
      <c r="B733" t="s">
        <v>776</v>
      </c>
      <c r="C733">
        <v>1</v>
      </c>
    </row>
    <row r="734" spans="1:3" x14ac:dyDescent="0.25">
      <c r="A734">
        <v>733</v>
      </c>
      <c r="B734" t="s">
        <v>777</v>
      </c>
      <c r="C734">
        <v>1</v>
      </c>
    </row>
    <row r="735" spans="1:3" x14ac:dyDescent="0.25">
      <c r="A735">
        <v>734</v>
      </c>
      <c r="B735" t="s">
        <v>778</v>
      </c>
      <c r="C735">
        <v>2</v>
      </c>
    </row>
    <row r="736" spans="1:3" x14ac:dyDescent="0.25">
      <c r="A736">
        <v>735</v>
      </c>
      <c r="B736" t="s">
        <v>779</v>
      </c>
      <c r="C736">
        <v>1</v>
      </c>
    </row>
    <row r="737" spans="1:3" x14ac:dyDescent="0.25">
      <c r="A737">
        <v>736</v>
      </c>
      <c r="B737" t="s">
        <v>780</v>
      </c>
      <c r="C737">
        <v>1</v>
      </c>
    </row>
    <row r="738" spans="1:3" x14ac:dyDescent="0.25">
      <c r="A738">
        <v>737</v>
      </c>
      <c r="B738" t="s">
        <v>781</v>
      </c>
      <c r="C738">
        <v>1</v>
      </c>
    </row>
    <row r="739" spans="1:3" x14ac:dyDescent="0.25">
      <c r="A739">
        <v>738</v>
      </c>
      <c r="B739" t="s">
        <v>782</v>
      </c>
      <c r="C739">
        <v>3</v>
      </c>
    </row>
    <row r="740" spans="1:3" x14ac:dyDescent="0.25">
      <c r="A740">
        <v>739</v>
      </c>
      <c r="B740" t="s">
        <v>783</v>
      </c>
      <c r="C740">
        <v>1</v>
      </c>
    </row>
    <row r="741" spans="1:3" x14ac:dyDescent="0.25">
      <c r="A741">
        <v>740</v>
      </c>
      <c r="B741" t="s">
        <v>784</v>
      </c>
      <c r="C741">
        <v>2</v>
      </c>
    </row>
    <row r="742" spans="1:3" x14ac:dyDescent="0.25">
      <c r="A742">
        <v>741</v>
      </c>
      <c r="B742" t="s">
        <v>785</v>
      </c>
      <c r="C742">
        <v>2</v>
      </c>
    </row>
    <row r="743" spans="1:3" x14ac:dyDescent="0.25">
      <c r="A743">
        <v>742</v>
      </c>
      <c r="B743" t="s">
        <v>786</v>
      </c>
      <c r="C743">
        <v>1</v>
      </c>
    </row>
    <row r="744" spans="1:3" x14ac:dyDescent="0.25">
      <c r="A744">
        <v>743</v>
      </c>
      <c r="B744" t="s">
        <v>787</v>
      </c>
      <c r="C744">
        <v>4</v>
      </c>
    </row>
    <row r="745" spans="1:3" x14ac:dyDescent="0.25">
      <c r="A745">
        <v>744</v>
      </c>
      <c r="B745" t="s">
        <v>788</v>
      </c>
      <c r="C745">
        <v>1</v>
      </c>
    </row>
    <row r="746" spans="1:3" x14ac:dyDescent="0.25">
      <c r="A746">
        <v>745</v>
      </c>
      <c r="B746" t="s">
        <v>789</v>
      </c>
      <c r="C746">
        <v>1</v>
      </c>
    </row>
    <row r="747" spans="1:3" x14ac:dyDescent="0.25">
      <c r="A747">
        <v>746</v>
      </c>
      <c r="B747" t="s">
        <v>790</v>
      </c>
      <c r="C747">
        <v>1</v>
      </c>
    </row>
    <row r="748" spans="1:3" x14ac:dyDescent="0.25">
      <c r="A748">
        <v>747</v>
      </c>
      <c r="B748" t="s">
        <v>791</v>
      </c>
      <c r="C748">
        <v>2</v>
      </c>
    </row>
    <row r="749" spans="1:3" x14ac:dyDescent="0.25">
      <c r="A749">
        <v>748</v>
      </c>
      <c r="B749" t="s">
        <v>792</v>
      </c>
      <c r="C749">
        <v>2</v>
      </c>
    </row>
    <row r="750" spans="1:3" x14ac:dyDescent="0.25">
      <c r="A750">
        <v>749</v>
      </c>
      <c r="B750" t="s">
        <v>793</v>
      </c>
      <c r="C750">
        <v>5</v>
      </c>
    </row>
    <row r="751" spans="1:3" x14ac:dyDescent="0.25">
      <c r="A751">
        <v>750</v>
      </c>
      <c r="B751" t="s">
        <v>794</v>
      </c>
      <c r="C751">
        <v>3</v>
      </c>
    </row>
    <row r="752" spans="1:3" x14ac:dyDescent="0.25">
      <c r="A752">
        <v>751</v>
      </c>
      <c r="B752" t="s">
        <v>795</v>
      </c>
      <c r="C752">
        <v>1</v>
      </c>
    </row>
    <row r="753" spans="1:3" x14ac:dyDescent="0.25">
      <c r="A753">
        <v>752</v>
      </c>
      <c r="B753" t="s">
        <v>796</v>
      </c>
      <c r="C753">
        <v>1</v>
      </c>
    </row>
    <row r="754" spans="1:3" x14ac:dyDescent="0.25">
      <c r="A754">
        <v>753</v>
      </c>
      <c r="B754" t="s">
        <v>797</v>
      </c>
      <c r="C754">
        <v>2</v>
      </c>
    </row>
    <row r="755" spans="1:3" x14ac:dyDescent="0.25">
      <c r="A755">
        <v>754</v>
      </c>
      <c r="B755" t="s">
        <v>798</v>
      </c>
      <c r="C755">
        <v>2</v>
      </c>
    </row>
    <row r="756" spans="1:3" x14ac:dyDescent="0.25">
      <c r="A756">
        <v>755</v>
      </c>
      <c r="B756" t="s">
        <v>799</v>
      </c>
      <c r="C756">
        <v>1</v>
      </c>
    </row>
    <row r="757" spans="1:3" x14ac:dyDescent="0.25">
      <c r="A757">
        <v>756</v>
      </c>
      <c r="B757" t="s">
        <v>800</v>
      </c>
      <c r="C757">
        <v>1</v>
      </c>
    </row>
    <row r="758" spans="1:3" x14ac:dyDescent="0.25">
      <c r="A758">
        <v>757</v>
      </c>
      <c r="B758" t="s">
        <v>801</v>
      </c>
      <c r="C758">
        <v>2</v>
      </c>
    </row>
    <row r="759" spans="1:3" x14ac:dyDescent="0.25">
      <c r="A759">
        <v>758</v>
      </c>
      <c r="B759" t="s">
        <v>802</v>
      </c>
      <c r="C759">
        <v>5</v>
      </c>
    </row>
    <row r="760" spans="1:3" x14ac:dyDescent="0.25">
      <c r="A760">
        <v>759</v>
      </c>
      <c r="B760" t="s">
        <v>803</v>
      </c>
      <c r="C760">
        <v>1</v>
      </c>
    </row>
    <row r="761" spans="1:3" x14ac:dyDescent="0.25">
      <c r="A761">
        <v>760</v>
      </c>
      <c r="B761" t="s">
        <v>804</v>
      </c>
      <c r="C761">
        <v>4</v>
      </c>
    </row>
    <row r="762" spans="1:3" x14ac:dyDescent="0.25">
      <c r="A762">
        <v>761</v>
      </c>
      <c r="B762" t="s">
        <v>805</v>
      </c>
      <c r="C762">
        <v>2</v>
      </c>
    </row>
    <row r="763" spans="1:3" x14ac:dyDescent="0.25">
      <c r="A763">
        <v>762</v>
      </c>
      <c r="B763" t="s">
        <v>806</v>
      </c>
      <c r="C763">
        <v>1</v>
      </c>
    </row>
    <row r="764" spans="1:3" x14ac:dyDescent="0.25">
      <c r="A764">
        <v>763</v>
      </c>
      <c r="B764" t="s">
        <v>807</v>
      </c>
      <c r="C764">
        <v>1</v>
      </c>
    </row>
    <row r="765" spans="1:3" x14ac:dyDescent="0.25">
      <c r="A765">
        <v>764</v>
      </c>
      <c r="B765" t="s">
        <v>808</v>
      </c>
      <c r="C765">
        <v>1</v>
      </c>
    </row>
    <row r="766" spans="1:3" x14ac:dyDescent="0.25">
      <c r="A766">
        <v>765</v>
      </c>
      <c r="B766" t="s">
        <v>809</v>
      </c>
      <c r="C766">
        <v>1</v>
      </c>
    </row>
    <row r="767" spans="1:3" x14ac:dyDescent="0.25">
      <c r="A767">
        <v>766</v>
      </c>
      <c r="B767" t="s">
        <v>810</v>
      </c>
      <c r="C767">
        <v>1</v>
      </c>
    </row>
    <row r="768" spans="1:3" x14ac:dyDescent="0.25">
      <c r="A768">
        <v>767</v>
      </c>
      <c r="B768" t="s">
        <v>811</v>
      </c>
      <c r="C768">
        <v>1</v>
      </c>
    </row>
    <row r="769" spans="1:3" x14ac:dyDescent="0.25">
      <c r="A769">
        <v>768</v>
      </c>
      <c r="B769" t="s">
        <v>812</v>
      </c>
      <c r="C769">
        <v>1</v>
      </c>
    </row>
    <row r="770" spans="1:3" x14ac:dyDescent="0.25">
      <c r="A770">
        <v>769</v>
      </c>
      <c r="B770" t="s">
        <v>813</v>
      </c>
      <c r="C770">
        <v>1</v>
      </c>
    </row>
    <row r="771" spans="1:3" x14ac:dyDescent="0.25">
      <c r="A771">
        <v>770</v>
      </c>
      <c r="B771" t="s">
        <v>814</v>
      </c>
      <c r="C771">
        <v>5</v>
      </c>
    </row>
    <row r="772" spans="1:3" x14ac:dyDescent="0.25">
      <c r="A772">
        <v>771</v>
      </c>
      <c r="B772" t="s">
        <v>815</v>
      </c>
      <c r="C772">
        <v>1</v>
      </c>
    </row>
    <row r="773" spans="1:3" x14ac:dyDescent="0.25">
      <c r="A773">
        <v>772</v>
      </c>
      <c r="B773" t="s">
        <v>816</v>
      </c>
      <c r="C773">
        <v>6</v>
      </c>
    </row>
    <row r="774" spans="1:3" x14ac:dyDescent="0.25">
      <c r="A774">
        <v>773</v>
      </c>
      <c r="B774" t="s">
        <v>817</v>
      </c>
      <c r="C774">
        <v>1</v>
      </c>
    </row>
    <row r="775" spans="1:3" x14ac:dyDescent="0.25">
      <c r="A775">
        <v>774</v>
      </c>
      <c r="B775" t="s">
        <v>818</v>
      </c>
      <c r="C775">
        <v>2</v>
      </c>
    </row>
    <row r="776" spans="1:3" x14ac:dyDescent="0.25">
      <c r="A776">
        <v>775</v>
      </c>
      <c r="B776" t="s">
        <v>819</v>
      </c>
      <c r="C776">
        <v>1</v>
      </c>
    </row>
    <row r="777" spans="1:3" x14ac:dyDescent="0.25">
      <c r="A777">
        <v>776</v>
      </c>
      <c r="B777" t="s">
        <v>820</v>
      </c>
      <c r="C777">
        <v>1</v>
      </c>
    </row>
    <row r="778" spans="1:3" x14ac:dyDescent="0.25">
      <c r="A778">
        <v>777</v>
      </c>
      <c r="B778" t="s">
        <v>821</v>
      </c>
      <c r="C778">
        <v>5</v>
      </c>
    </row>
    <row r="779" spans="1:3" x14ac:dyDescent="0.25">
      <c r="A779">
        <v>778</v>
      </c>
      <c r="B779" t="s">
        <v>822</v>
      </c>
      <c r="C779">
        <v>1</v>
      </c>
    </row>
    <row r="780" spans="1:3" x14ac:dyDescent="0.25">
      <c r="A780">
        <v>779</v>
      </c>
      <c r="B780" t="s">
        <v>823</v>
      </c>
      <c r="C780">
        <v>6</v>
      </c>
    </row>
    <row r="781" spans="1:3" x14ac:dyDescent="0.25">
      <c r="A781">
        <v>780</v>
      </c>
      <c r="B781" t="s">
        <v>824</v>
      </c>
      <c r="C781">
        <v>1</v>
      </c>
    </row>
    <row r="782" spans="1:3" x14ac:dyDescent="0.25">
      <c r="A782">
        <v>781</v>
      </c>
      <c r="B782" t="s">
        <v>825</v>
      </c>
      <c r="C782">
        <v>1</v>
      </c>
    </row>
    <row r="783" spans="1:3" x14ac:dyDescent="0.25">
      <c r="A783">
        <v>782</v>
      </c>
      <c r="B783" t="s">
        <v>826</v>
      </c>
      <c r="C783">
        <v>5</v>
      </c>
    </row>
    <row r="784" spans="1:3" x14ac:dyDescent="0.25">
      <c r="A784">
        <v>783</v>
      </c>
      <c r="B784" t="s">
        <v>827</v>
      </c>
      <c r="C784">
        <v>1</v>
      </c>
    </row>
    <row r="785" spans="1:3" x14ac:dyDescent="0.25">
      <c r="A785">
        <v>784</v>
      </c>
      <c r="B785" t="s">
        <v>828</v>
      </c>
      <c r="C785">
        <v>1</v>
      </c>
    </row>
    <row r="786" spans="1:3" x14ac:dyDescent="0.25">
      <c r="A786">
        <v>785</v>
      </c>
      <c r="B786" t="s">
        <v>829</v>
      </c>
      <c r="C786">
        <v>1</v>
      </c>
    </row>
    <row r="787" spans="1:3" x14ac:dyDescent="0.25">
      <c r="A787">
        <v>786</v>
      </c>
      <c r="B787" t="s">
        <v>830</v>
      </c>
      <c r="C787">
        <v>6</v>
      </c>
    </row>
    <row r="788" spans="1:3" x14ac:dyDescent="0.25">
      <c r="A788">
        <v>787</v>
      </c>
      <c r="B788" t="s">
        <v>831</v>
      </c>
      <c r="C788">
        <v>4</v>
      </c>
    </row>
    <row r="789" spans="1:3" x14ac:dyDescent="0.25">
      <c r="A789">
        <v>788</v>
      </c>
      <c r="B789" t="s">
        <v>832</v>
      </c>
      <c r="C789">
        <v>1</v>
      </c>
    </row>
    <row r="790" spans="1:3" x14ac:dyDescent="0.25">
      <c r="A790">
        <v>789</v>
      </c>
      <c r="B790" t="s">
        <v>833</v>
      </c>
      <c r="C790">
        <v>1</v>
      </c>
    </row>
    <row r="791" spans="1:3" x14ac:dyDescent="0.25">
      <c r="A791">
        <v>790</v>
      </c>
      <c r="B791" t="s">
        <v>834</v>
      </c>
      <c r="C791">
        <v>2</v>
      </c>
    </row>
    <row r="792" spans="1:3" x14ac:dyDescent="0.25">
      <c r="A792">
        <v>791</v>
      </c>
      <c r="B792" t="s">
        <v>835</v>
      </c>
      <c r="C792">
        <v>1</v>
      </c>
    </row>
    <row r="793" spans="1:3" x14ac:dyDescent="0.25">
      <c r="A793">
        <v>792</v>
      </c>
      <c r="B793" t="s">
        <v>836</v>
      </c>
      <c r="C793">
        <v>2</v>
      </c>
    </row>
    <row r="794" spans="1:3" x14ac:dyDescent="0.25">
      <c r="A794">
        <v>793</v>
      </c>
      <c r="B794" t="s">
        <v>837</v>
      </c>
      <c r="C794">
        <v>1</v>
      </c>
    </row>
    <row r="795" spans="1:3" x14ac:dyDescent="0.25">
      <c r="A795">
        <v>794</v>
      </c>
      <c r="B795" t="s">
        <v>838</v>
      </c>
      <c r="C795">
        <v>1</v>
      </c>
    </row>
    <row r="796" spans="1:3" x14ac:dyDescent="0.25">
      <c r="A796">
        <v>795</v>
      </c>
      <c r="B796" t="s">
        <v>839</v>
      </c>
      <c r="C796">
        <v>1</v>
      </c>
    </row>
    <row r="797" spans="1:3" x14ac:dyDescent="0.25">
      <c r="A797">
        <v>796</v>
      </c>
      <c r="B797" t="s">
        <v>840</v>
      </c>
      <c r="C797">
        <v>1</v>
      </c>
    </row>
    <row r="798" spans="1:3" x14ac:dyDescent="0.25">
      <c r="A798">
        <v>797</v>
      </c>
      <c r="B798" t="s">
        <v>841</v>
      </c>
      <c r="C798">
        <v>1</v>
      </c>
    </row>
    <row r="799" spans="1:3" x14ac:dyDescent="0.25">
      <c r="A799">
        <v>798</v>
      </c>
      <c r="B799" t="s">
        <v>842</v>
      </c>
      <c r="C799">
        <v>1</v>
      </c>
    </row>
    <row r="800" spans="1:3" x14ac:dyDescent="0.25">
      <c r="A800">
        <v>799</v>
      </c>
      <c r="B800" t="s">
        <v>843</v>
      </c>
      <c r="C800">
        <v>1</v>
      </c>
    </row>
    <row r="801" spans="1:3" x14ac:dyDescent="0.25">
      <c r="A801">
        <v>800</v>
      </c>
      <c r="B801" t="s">
        <v>844</v>
      </c>
      <c r="C801">
        <v>6</v>
      </c>
    </row>
    <row r="802" spans="1:3" x14ac:dyDescent="0.25">
      <c r="A802">
        <v>801</v>
      </c>
      <c r="B802" t="s">
        <v>845</v>
      </c>
      <c r="C802">
        <v>1</v>
      </c>
    </row>
    <row r="803" spans="1:3" x14ac:dyDescent="0.25">
      <c r="A803">
        <v>802</v>
      </c>
      <c r="B803" t="s">
        <v>846</v>
      </c>
      <c r="C803">
        <v>1</v>
      </c>
    </row>
    <row r="804" spans="1:3" x14ac:dyDescent="0.25">
      <c r="A804">
        <v>803</v>
      </c>
      <c r="B804" t="s">
        <v>847</v>
      </c>
      <c r="C804">
        <v>1</v>
      </c>
    </row>
    <row r="805" spans="1:3" x14ac:dyDescent="0.25">
      <c r="A805">
        <v>804</v>
      </c>
      <c r="B805" t="s">
        <v>848</v>
      </c>
      <c r="C805">
        <v>1</v>
      </c>
    </row>
    <row r="806" spans="1:3" x14ac:dyDescent="0.25">
      <c r="A806">
        <v>805</v>
      </c>
      <c r="B806" t="s">
        <v>849</v>
      </c>
      <c r="C806">
        <v>4</v>
      </c>
    </row>
    <row r="807" spans="1:3" x14ac:dyDescent="0.25">
      <c r="A807">
        <v>806</v>
      </c>
      <c r="B807" t="s">
        <v>850</v>
      </c>
      <c r="C807">
        <v>1</v>
      </c>
    </row>
    <row r="808" spans="1:3" x14ac:dyDescent="0.25">
      <c r="A808">
        <v>807</v>
      </c>
      <c r="B808" t="s">
        <v>851</v>
      </c>
      <c r="C808">
        <v>4</v>
      </c>
    </row>
    <row r="809" spans="1:3" x14ac:dyDescent="0.25">
      <c r="A809">
        <v>808</v>
      </c>
      <c r="B809" t="s">
        <v>852</v>
      </c>
      <c r="C809">
        <v>1</v>
      </c>
    </row>
    <row r="810" spans="1:3" x14ac:dyDescent="0.25">
      <c r="A810">
        <v>809</v>
      </c>
      <c r="B810" t="s">
        <v>853</v>
      </c>
      <c r="C810">
        <v>1</v>
      </c>
    </row>
    <row r="811" spans="1:3" x14ac:dyDescent="0.25">
      <c r="A811">
        <v>810</v>
      </c>
      <c r="B811" t="s">
        <v>854</v>
      </c>
      <c r="C811">
        <v>4</v>
      </c>
    </row>
    <row r="812" spans="1:3" x14ac:dyDescent="0.25">
      <c r="A812">
        <v>811</v>
      </c>
      <c r="B812" t="s">
        <v>855</v>
      </c>
      <c r="C812">
        <v>2</v>
      </c>
    </row>
    <row r="813" spans="1:3" x14ac:dyDescent="0.25">
      <c r="A813">
        <v>812</v>
      </c>
      <c r="B813" t="s">
        <v>856</v>
      </c>
      <c r="C813">
        <v>4</v>
      </c>
    </row>
    <row r="814" spans="1:3" x14ac:dyDescent="0.25">
      <c r="A814">
        <v>813</v>
      </c>
      <c r="B814" t="s">
        <v>857</v>
      </c>
      <c r="C814">
        <v>1</v>
      </c>
    </row>
    <row r="815" spans="1:3" x14ac:dyDescent="0.25">
      <c r="A815">
        <v>814</v>
      </c>
      <c r="B815" t="s">
        <v>858</v>
      </c>
      <c r="C815">
        <v>1</v>
      </c>
    </row>
    <row r="816" spans="1:3" x14ac:dyDescent="0.25">
      <c r="A816">
        <v>815</v>
      </c>
      <c r="B816" t="s">
        <v>859</v>
      </c>
      <c r="C816">
        <v>6</v>
      </c>
    </row>
    <row r="817" spans="1:3" x14ac:dyDescent="0.25">
      <c r="A817">
        <v>816</v>
      </c>
      <c r="B817" t="s">
        <v>860</v>
      </c>
      <c r="C817">
        <v>1</v>
      </c>
    </row>
    <row r="818" spans="1:3" x14ac:dyDescent="0.25">
      <c r="A818">
        <v>817</v>
      </c>
      <c r="B818" t="s">
        <v>861</v>
      </c>
      <c r="C818">
        <v>1</v>
      </c>
    </row>
    <row r="819" spans="1:3" x14ac:dyDescent="0.25">
      <c r="A819">
        <v>818</v>
      </c>
      <c r="B819" t="s">
        <v>862</v>
      </c>
      <c r="C819">
        <v>1</v>
      </c>
    </row>
    <row r="820" spans="1:3" x14ac:dyDescent="0.25">
      <c r="A820">
        <v>819</v>
      </c>
      <c r="B820" t="s">
        <v>863</v>
      </c>
      <c r="C820">
        <v>1</v>
      </c>
    </row>
    <row r="821" spans="1:3" x14ac:dyDescent="0.25">
      <c r="A821">
        <v>820</v>
      </c>
      <c r="B821" t="s">
        <v>864</v>
      </c>
      <c r="C821">
        <v>5</v>
      </c>
    </row>
    <row r="822" spans="1:3" x14ac:dyDescent="0.25">
      <c r="A822">
        <v>821</v>
      </c>
      <c r="B822" t="s">
        <v>865</v>
      </c>
      <c r="C822">
        <v>1</v>
      </c>
    </row>
    <row r="823" spans="1:3" x14ac:dyDescent="0.25">
      <c r="A823">
        <v>822</v>
      </c>
      <c r="B823" t="s">
        <v>866</v>
      </c>
      <c r="C823">
        <v>1</v>
      </c>
    </row>
    <row r="824" spans="1:3" x14ac:dyDescent="0.25">
      <c r="A824">
        <v>823</v>
      </c>
      <c r="B824" t="s">
        <v>867</v>
      </c>
      <c r="C824">
        <v>2</v>
      </c>
    </row>
    <row r="825" spans="1:3" x14ac:dyDescent="0.25">
      <c r="A825">
        <v>824</v>
      </c>
      <c r="B825" t="s">
        <v>868</v>
      </c>
      <c r="C825">
        <v>5</v>
      </c>
    </row>
    <row r="826" spans="1:3" x14ac:dyDescent="0.25">
      <c r="A826">
        <v>825</v>
      </c>
      <c r="B826" t="s">
        <v>869</v>
      </c>
      <c r="C826">
        <v>1</v>
      </c>
    </row>
    <row r="827" spans="1:3" x14ac:dyDescent="0.25">
      <c r="A827">
        <v>826</v>
      </c>
      <c r="B827" t="s">
        <v>870</v>
      </c>
      <c r="C827">
        <v>1</v>
      </c>
    </row>
    <row r="828" spans="1:3" x14ac:dyDescent="0.25">
      <c r="A828">
        <v>827</v>
      </c>
      <c r="B828" t="s">
        <v>871</v>
      </c>
      <c r="C828">
        <v>6</v>
      </c>
    </row>
    <row r="829" spans="1:3" x14ac:dyDescent="0.25">
      <c r="A829">
        <v>828</v>
      </c>
      <c r="B829" t="s">
        <v>872</v>
      </c>
      <c r="C829">
        <v>2</v>
      </c>
    </row>
    <row r="830" spans="1:3" x14ac:dyDescent="0.25">
      <c r="A830">
        <v>829</v>
      </c>
      <c r="B830" t="s">
        <v>873</v>
      </c>
      <c r="C830">
        <v>1</v>
      </c>
    </row>
    <row r="831" spans="1:3" x14ac:dyDescent="0.25">
      <c r="A831">
        <v>830</v>
      </c>
      <c r="B831" t="s">
        <v>874</v>
      </c>
      <c r="C831">
        <v>1</v>
      </c>
    </row>
    <row r="832" spans="1:3" x14ac:dyDescent="0.25">
      <c r="A832">
        <v>831</v>
      </c>
      <c r="B832" t="s">
        <v>875</v>
      </c>
      <c r="C832">
        <v>1</v>
      </c>
    </row>
    <row r="833" spans="1:3" x14ac:dyDescent="0.25">
      <c r="A833">
        <v>832</v>
      </c>
      <c r="B833" t="s">
        <v>876</v>
      </c>
      <c r="C833">
        <v>1</v>
      </c>
    </row>
    <row r="834" spans="1:3" x14ac:dyDescent="0.25">
      <c r="A834">
        <v>833</v>
      </c>
      <c r="B834" t="s">
        <v>877</v>
      </c>
      <c r="C834">
        <v>1</v>
      </c>
    </row>
    <row r="835" spans="1:3" x14ac:dyDescent="0.25">
      <c r="A835">
        <v>834</v>
      </c>
      <c r="B835" t="s">
        <v>878</v>
      </c>
      <c r="C835">
        <v>1</v>
      </c>
    </row>
    <row r="836" spans="1:3" x14ac:dyDescent="0.25">
      <c r="A836">
        <v>835</v>
      </c>
      <c r="B836" t="s">
        <v>879</v>
      </c>
      <c r="C836">
        <v>1</v>
      </c>
    </row>
    <row r="837" spans="1:3" x14ac:dyDescent="0.25">
      <c r="A837">
        <v>836</v>
      </c>
      <c r="B837" t="s">
        <v>880</v>
      </c>
      <c r="C837">
        <v>1</v>
      </c>
    </row>
    <row r="838" spans="1:3" x14ac:dyDescent="0.25">
      <c r="A838">
        <v>837</v>
      </c>
      <c r="B838" t="s">
        <v>881</v>
      </c>
      <c r="C838">
        <v>1</v>
      </c>
    </row>
    <row r="839" spans="1:3" x14ac:dyDescent="0.25">
      <c r="A839">
        <v>838</v>
      </c>
      <c r="B839" t="s">
        <v>882</v>
      </c>
      <c r="C839">
        <v>1</v>
      </c>
    </row>
    <row r="840" spans="1:3" x14ac:dyDescent="0.25">
      <c r="A840">
        <v>839</v>
      </c>
      <c r="B840" t="s">
        <v>883</v>
      </c>
      <c r="C840">
        <v>1</v>
      </c>
    </row>
    <row r="841" spans="1:3" x14ac:dyDescent="0.25">
      <c r="A841">
        <v>840</v>
      </c>
      <c r="B841" t="s">
        <v>884</v>
      </c>
      <c r="C841">
        <v>1</v>
      </c>
    </row>
    <row r="842" spans="1:3" x14ac:dyDescent="0.25">
      <c r="A842">
        <v>841</v>
      </c>
      <c r="B842" t="s">
        <v>885</v>
      </c>
      <c r="C842">
        <v>1</v>
      </c>
    </row>
    <row r="843" spans="1:3" x14ac:dyDescent="0.25">
      <c r="A843">
        <v>842</v>
      </c>
      <c r="B843" t="s">
        <v>886</v>
      </c>
      <c r="C843">
        <v>1</v>
      </c>
    </row>
    <row r="844" spans="1:3" x14ac:dyDescent="0.25">
      <c r="A844">
        <v>843</v>
      </c>
      <c r="B844" t="s">
        <v>887</v>
      </c>
      <c r="C844">
        <v>1</v>
      </c>
    </row>
    <row r="845" spans="1:3" x14ac:dyDescent="0.25">
      <c r="A845">
        <v>844</v>
      </c>
      <c r="B845" t="s">
        <v>888</v>
      </c>
      <c r="C845">
        <v>1</v>
      </c>
    </row>
    <row r="846" spans="1:3" x14ac:dyDescent="0.25">
      <c r="A846">
        <v>845</v>
      </c>
      <c r="B846" t="s">
        <v>889</v>
      </c>
      <c r="C846">
        <v>5</v>
      </c>
    </row>
    <row r="847" spans="1:3" x14ac:dyDescent="0.25">
      <c r="A847">
        <v>846</v>
      </c>
      <c r="B847" t="s">
        <v>890</v>
      </c>
      <c r="C847">
        <v>4</v>
      </c>
    </row>
    <row r="848" spans="1:3" x14ac:dyDescent="0.25">
      <c r="A848">
        <v>847</v>
      </c>
      <c r="B848" t="s">
        <v>891</v>
      </c>
      <c r="C848">
        <v>6</v>
      </c>
    </row>
    <row r="849" spans="1:3" x14ac:dyDescent="0.25">
      <c r="A849">
        <v>848</v>
      </c>
      <c r="B849" t="s">
        <v>892</v>
      </c>
      <c r="C849">
        <v>2</v>
      </c>
    </row>
    <row r="850" spans="1:3" x14ac:dyDescent="0.25">
      <c r="A850">
        <v>849</v>
      </c>
      <c r="B850" t="s">
        <v>893</v>
      </c>
      <c r="C850">
        <v>6</v>
      </c>
    </row>
    <row r="851" spans="1:3" x14ac:dyDescent="0.25">
      <c r="A851">
        <v>850</v>
      </c>
      <c r="B851" t="s">
        <v>894</v>
      </c>
      <c r="C851">
        <v>2</v>
      </c>
    </row>
    <row r="852" spans="1:3" x14ac:dyDescent="0.25">
      <c r="A852">
        <v>851</v>
      </c>
      <c r="B852" t="s">
        <v>895</v>
      </c>
      <c r="C852">
        <v>1</v>
      </c>
    </row>
    <row r="853" spans="1:3" x14ac:dyDescent="0.25">
      <c r="A853">
        <v>852</v>
      </c>
      <c r="B853" t="s">
        <v>896</v>
      </c>
      <c r="C853">
        <v>5</v>
      </c>
    </row>
    <row r="854" spans="1:3" x14ac:dyDescent="0.25">
      <c r="A854">
        <v>853</v>
      </c>
      <c r="B854" t="s">
        <v>897</v>
      </c>
      <c r="C854">
        <v>1</v>
      </c>
    </row>
    <row r="855" spans="1:3" x14ac:dyDescent="0.25">
      <c r="A855">
        <v>854</v>
      </c>
      <c r="B855" t="s">
        <v>898</v>
      </c>
      <c r="C855">
        <v>5</v>
      </c>
    </row>
    <row r="856" spans="1:3" x14ac:dyDescent="0.25">
      <c r="A856">
        <v>855</v>
      </c>
      <c r="B856" t="s">
        <v>899</v>
      </c>
      <c r="C856">
        <v>1</v>
      </c>
    </row>
    <row r="857" spans="1:3" x14ac:dyDescent="0.25">
      <c r="A857">
        <v>856</v>
      </c>
      <c r="B857" t="s">
        <v>900</v>
      </c>
      <c r="C857">
        <v>1</v>
      </c>
    </row>
    <row r="858" spans="1:3" x14ac:dyDescent="0.25">
      <c r="A858">
        <v>857</v>
      </c>
      <c r="B858" t="s">
        <v>901</v>
      </c>
      <c r="C858">
        <v>1</v>
      </c>
    </row>
    <row r="859" spans="1:3" x14ac:dyDescent="0.25">
      <c r="A859">
        <v>858</v>
      </c>
      <c r="B859" t="s">
        <v>902</v>
      </c>
      <c r="C859">
        <v>1</v>
      </c>
    </row>
    <row r="860" spans="1:3" x14ac:dyDescent="0.25">
      <c r="A860">
        <v>859</v>
      </c>
      <c r="B860" t="s">
        <v>903</v>
      </c>
      <c r="C860">
        <v>1</v>
      </c>
    </row>
    <row r="861" spans="1:3" x14ac:dyDescent="0.25">
      <c r="A861">
        <v>860</v>
      </c>
      <c r="B861" t="s">
        <v>904</v>
      </c>
      <c r="C861">
        <v>1</v>
      </c>
    </row>
    <row r="862" spans="1:3" x14ac:dyDescent="0.25">
      <c r="A862">
        <v>861</v>
      </c>
      <c r="B862" t="s">
        <v>905</v>
      </c>
      <c r="C862">
        <v>2</v>
      </c>
    </row>
    <row r="863" spans="1:3" x14ac:dyDescent="0.25">
      <c r="A863">
        <v>862</v>
      </c>
      <c r="B863" t="s">
        <v>906</v>
      </c>
      <c r="C863">
        <v>1</v>
      </c>
    </row>
    <row r="864" spans="1:3" x14ac:dyDescent="0.25">
      <c r="A864">
        <v>863</v>
      </c>
      <c r="B864" t="s">
        <v>907</v>
      </c>
      <c r="C864">
        <v>1</v>
      </c>
    </row>
    <row r="865" spans="1:3" x14ac:dyDescent="0.25">
      <c r="A865">
        <v>864</v>
      </c>
      <c r="B865" t="s">
        <v>908</v>
      </c>
      <c r="C865">
        <v>4</v>
      </c>
    </row>
    <row r="866" spans="1:3" x14ac:dyDescent="0.25">
      <c r="A866">
        <v>865</v>
      </c>
      <c r="B866" t="s">
        <v>909</v>
      </c>
      <c r="C866">
        <v>1</v>
      </c>
    </row>
    <row r="867" spans="1:3" x14ac:dyDescent="0.25">
      <c r="A867">
        <v>866</v>
      </c>
      <c r="B867" t="s">
        <v>910</v>
      </c>
      <c r="C867">
        <v>1</v>
      </c>
    </row>
    <row r="868" spans="1:3" x14ac:dyDescent="0.25">
      <c r="A868">
        <v>867</v>
      </c>
      <c r="B868" t="s">
        <v>911</v>
      </c>
      <c r="C868">
        <v>1</v>
      </c>
    </row>
    <row r="869" spans="1:3" x14ac:dyDescent="0.25">
      <c r="A869">
        <v>868</v>
      </c>
      <c r="B869" t="s">
        <v>912</v>
      </c>
      <c r="C869">
        <v>1</v>
      </c>
    </row>
    <row r="870" spans="1:3" x14ac:dyDescent="0.25">
      <c r="A870">
        <v>869</v>
      </c>
      <c r="B870" t="s">
        <v>913</v>
      </c>
      <c r="C870">
        <v>2</v>
      </c>
    </row>
    <row r="871" spans="1:3" x14ac:dyDescent="0.25">
      <c r="A871">
        <v>870</v>
      </c>
      <c r="B871" t="s">
        <v>914</v>
      </c>
      <c r="C871">
        <v>1</v>
      </c>
    </row>
    <row r="872" spans="1:3" x14ac:dyDescent="0.25">
      <c r="A872">
        <v>871</v>
      </c>
      <c r="B872" t="s">
        <v>915</v>
      </c>
      <c r="C872">
        <v>6</v>
      </c>
    </row>
    <row r="873" spans="1:3" x14ac:dyDescent="0.25">
      <c r="A873">
        <v>872</v>
      </c>
      <c r="B873" t="s">
        <v>916</v>
      </c>
      <c r="C873">
        <v>2</v>
      </c>
    </row>
    <row r="874" spans="1:3" x14ac:dyDescent="0.25">
      <c r="A874">
        <v>873</v>
      </c>
      <c r="B874" t="s">
        <v>917</v>
      </c>
      <c r="C874">
        <v>1</v>
      </c>
    </row>
    <row r="875" spans="1:3" x14ac:dyDescent="0.25">
      <c r="A875">
        <v>874</v>
      </c>
      <c r="B875" t="s">
        <v>918</v>
      </c>
      <c r="C875">
        <v>1</v>
      </c>
    </row>
    <row r="876" spans="1:3" x14ac:dyDescent="0.25">
      <c r="A876">
        <v>875</v>
      </c>
      <c r="B876" t="s">
        <v>919</v>
      </c>
      <c r="C876">
        <v>2</v>
      </c>
    </row>
    <row r="877" spans="1:3" x14ac:dyDescent="0.25">
      <c r="A877">
        <v>876</v>
      </c>
      <c r="B877" t="s">
        <v>920</v>
      </c>
      <c r="C877">
        <v>2</v>
      </c>
    </row>
    <row r="878" spans="1:3" x14ac:dyDescent="0.25">
      <c r="A878">
        <v>877</v>
      </c>
      <c r="B878" t="s">
        <v>921</v>
      </c>
      <c r="C878">
        <v>1</v>
      </c>
    </row>
    <row r="879" spans="1:3" x14ac:dyDescent="0.25">
      <c r="A879">
        <v>878</v>
      </c>
      <c r="B879" t="s">
        <v>922</v>
      </c>
      <c r="C879">
        <v>1</v>
      </c>
    </row>
    <row r="880" spans="1:3" x14ac:dyDescent="0.25">
      <c r="A880">
        <v>879</v>
      </c>
      <c r="B880" t="s">
        <v>923</v>
      </c>
      <c r="C880">
        <v>3</v>
      </c>
    </row>
    <row r="881" spans="1:3" x14ac:dyDescent="0.25">
      <c r="A881">
        <v>880</v>
      </c>
      <c r="B881" t="s">
        <v>924</v>
      </c>
      <c r="C881">
        <v>1</v>
      </c>
    </row>
    <row r="882" spans="1:3" x14ac:dyDescent="0.25">
      <c r="A882">
        <v>881</v>
      </c>
      <c r="B882" t="s">
        <v>925</v>
      </c>
      <c r="C882">
        <v>1</v>
      </c>
    </row>
    <row r="883" spans="1:3" x14ac:dyDescent="0.25">
      <c r="A883">
        <v>882</v>
      </c>
      <c r="B883" t="s">
        <v>926</v>
      </c>
      <c r="C883">
        <v>1</v>
      </c>
    </row>
    <row r="884" spans="1:3" x14ac:dyDescent="0.25">
      <c r="A884">
        <v>883</v>
      </c>
      <c r="B884" t="s">
        <v>927</v>
      </c>
      <c r="C884">
        <v>1</v>
      </c>
    </row>
    <row r="885" spans="1:3" x14ac:dyDescent="0.25">
      <c r="A885">
        <v>884</v>
      </c>
      <c r="B885" t="s">
        <v>928</v>
      </c>
      <c r="C885">
        <v>4</v>
      </c>
    </row>
    <row r="886" spans="1:3" x14ac:dyDescent="0.25">
      <c r="A886">
        <v>885</v>
      </c>
      <c r="B886" t="s">
        <v>929</v>
      </c>
      <c r="C886">
        <v>1</v>
      </c>
    </row>
    <row r="887" spans="1:3" x14ac:dyDescent="0.25">
      <c r="A887">
        <v>886</v>
      </c>
      <c r="B887" t="s">
        <v>930</v>
      </c>
      <c r="C887">
        <v>1</v>
      </c>
    </row>
    <row r="888" spans="1:3" x14ac:dyDescent="0.25">
      <c r="A888">
        <v>887</v>
      </c>
      <c r="B888" t="s">
        <v>931</v>
      </c>
      <c r="C888">
        <v>1</v>
      </c>
    </row>
    <row r="889" spans="1:3" x14ac:dyDescent="0.25">
      <c r="A889">
        <v>888</v>
      </c>
      <c r="B889" t="s">
        <v>932</v>
      </c>
      <c r="C889">
        <v>1</v>
      </c>
    </row>
    <row r="890" spans="1:3" x14ac:dyDescent="0.25">
      <c r="A890">
        <v>889</v>
      </c>
      <c r="B890" t="s">
        <v>933</v>
      </c>
      <c r="C890">
        <v>1</v>
      </c>
    </row>
    <row r="891" spans="1:3" x14ac:dyDescent="0.25">
      <c r="A891">
        <v>890</v>
      </c>
      <c r="B891" t="s">
        <v>934</v>
      </c>
      <c r="C891">
        <v>1</v>
      </c>
    </row>
    <row r="892" spans="1:3" x14ac:dyDescent="0.25">
      <c r="A892">
        <v>891</v>
      </c>
      <c r="B892" t="s">
        <v>935</v>
      </c>
      <c r="C892">
        <v>1</v>
      </c>
    </row>
    <row r="893" spans="1:3" x14ac:dyDescent="0.25">
      <c r="A893">
        <v>892</v>
      </c>
      <c r="B893" t="s">
        <v>936</v>
      </c>
      <c r="C893">
        <v>5</v>
      </c>
    </row>
    <row r="894" spans="1:3" x14ac:dyDescent="0.25">
      <c r="A894">
        <v>893</v>
      </c>
      <c r="B894" t="s">
        <v>937</v>
      </c>
      <c r="C894">
        <v>1</v>
      </c>
    </row>
    <row r="895" spans="1:3" x14ac:dyDescent="0.25">
      <c r="A895">
        <v>894</v>
      </c>
      <c r="B895" t="s">
        <v>938</v>
      </c>
      <c r="C895">
        <v>1</v>
      </c>
    </row>
    <row r="896" spans="1:3" x14ac:dyDescent="0.25">
      <c r="A896">
        <v>895</v>
      </c>
      <c r="B896" t="s">
        <v>939</v>
      </c>
      <c r="C896">
        <v>1</v>
      </c>
    </row>
    <row r="897" spans="1:3" x14ac:dyDescent="0.25">
      <c r="A897">
        <v>896</v>
      </c>
      <c r="B897" t="s">
        <v>940</v>
      </c>
      <c r="C897">
        <v>1</v>
      </c>
    </row>
    <row r="898" spans="1:3" x14ac:dyDescent="0.25">
      <c r="A898">
        <v>897</v>
      </c>
      <c r="B898" t="s">
        <v>941</v>
      </c>
      <c r="C898">
        <v>1</v>
      </c>
    </row>
    <row r="899" spans="1:3" x14ac:dyDescent="0.25">
      <c r="A899">
        <v>898</v>
      </c>
      <c r="B899" t="s">
        <v>942</v>
      </c>
      <c r="C899">
        <v>3</v>
      </c>
    </row>
    <row r="900" spans="1:3" x14ac:dyDescent="0.25">
      <c r="A900">
        <v>899</v>
      </c>
      <c r="B900" t="s">
        <v>943</v>
      </c>
      <c r="C900">
        <v>1</v>
      </c>
    </row>
    <row r="901" spans="1:3" x14ac:dyDescent="0.25">
      <c r="A901">
        <v>900</v>
      </c>
      <c r="B901" t="s">
        <v>944</v>
      </c>
      <c r="C901">
        <v>6</v>
      </c>
    </row>
    <row r="902" spans="1:3" x14ac:dyDescent="0.25">
      <c r="A902">
        <v>901</v>
      </c>
      <c r="B902" t="s">
        <v>945</v>
      </c>
      <c r="C902">
        <v>3</v>
      </c>
    </row>
    <row r="903" spans="1:3" x14ac:dyDescent="0.25">
      <c r="A903">
        <v>902</v>
      </c>
      <c r="B903" t="s">
        <v>946</v>
      </c>
      <c r="C903">
        <v>1</v>
      </c>
    </row>
    <row r="904" spans="1:3" x14ac:dyDescent="0.25">
      <c r="A904">
        <v>903</v>
      </c>
      <c r="B904" t="s">
        <v>947</v>
      </c>
      <c r="C904">
        <v>1</v>
      </c>
    </row>
    <row r="905" spans="1:3" x14ac:dyDescent="0.25">
      <c r="A905">
        <v>904</v>
      </c>
      <c r="B905" t="s">
        <v>948</v>
      </c>
      <c r="C905">
        <v>1</v>
      </c>
    </row>
    <row r="906" spans="1:3" x14ac:dyDescent="0.25">
      <c r="A906">
        <v>905</v>
      </c>
      <c r="B906" t="s">
        <v>949</v>
      </c>
      <c r="C906">
        <v>1</v>
      </c>
    </row>
    <row r="907" spans="1:3" x14ac:dyDescent="0.25">
      <c r="A907">
        <v>906</v>
      </c>
      <c r="B907" t="s">
        <v>950</v>
      </c>
      <c r="C907">
        <v>1</v>
      </c>
    </row>
    <row r="908" spans="1:3" x14ac:dyDescent="0.25">
      <c r="A908">
        <v>907</v>
      </c>
      <c r="B908" t="s">
        <v>951</v>
      </c>
      <c r="C908">
        <v>1</v>
      </c>
    </row>
    <row r="909" spans="1:3" x14ac:dyDescent="0.25">
      <c r="A909">
        <v>908</v>
      </c>
      <c r="B909" t="s">
        <v>952</v>
      </c>
      <c r="C909">
        <v>1</v>
      </c>
    </row>
    <row r="910" spans="1:3" x14ac:dyDescent="0.25">
      <c r="A910">
        <v>909</v>
      </c>
      <c r="B910" t="s">
        <v>953</v>
      </c>
      <c r="C910">
        <v>1</v>
      </c>
    </row>
    <row r="911" spans="1:3" x14ac:dyDescent="0.25">
      <c r="A911">
        <v>910</v>
      </c>
      <c r="B911" t="s">
        <v>954</v>
      </c>
      <c r="C911">
        <v>2</v>
      </c>
    </row>
    <row r="912" spans="1:3" x14ac:dyDescent="0.25">
      <c r="A912">
        <v>911</v>
      </c>
      <c r="B912" t="s">
        <v>955</v>
      </c>
      <c r="C912">
        <v>1</v>
      </c>
    </row>
    <row r="913" spans="1:3" x14ac:dyDescent="0.25">
      <c r="A913">
        <v>912</v>
      </c>
      <c r="B913" t="s">
        <v>956</v>
      </c>
      <c r="C913">
        <v>2</v>
      </c>
    </row>
    <row r="914" spans="1:3" x14ac:dyDescent="0.25">
      <c r="A914">
        <v>913</v>
      </c>
      <c r="B914" t="s">
        <v>957</v>
      </c>
      <c r="C914">
        <v>1</v>
      </c>
    </row>
    <row r="915" spans="1:3" x14ac:dyDescent="0.25">
      <c r="A915">
        <v>914</v>
      </c>
      <c r="B915" t="s">
        <v>958</v>
      </c>
      <c r="C915">
        <v>5</v>
      </c>
    </row>
    <row r="916" spans="1:3" x14ac:dyDescent="0.25">
      <c r="A916">
        <v>915</v>
      </c>
      <c r="B916" t="s">
        <v>959</v>
      </c>
      <c r="C916">
        <v>5</v>
      </c>
    </row>
    <row r="917" spans="1:3" x14ac:dyDescent="0.25">
      <c r="A917">
        <v>916</v>
      </c>
      <c r="B917" t="s">
        <v>960</v>
      </c>
      <c r="C917">
        <v>1</v>
      </c>
    </row>
    <row r="918" spans="1:3" x14ac:dyDescent="0.25">
      <c r="A918">
        <v>917</v>
      </c>
      <c r="B918" t="s">
        <v>961</v>
      </c>
      <c r="C918">
        <v>4</v>
      </c>
    </row>
    <row r="919" spans="1:3" x14ac:dyDescent="0.25">
      <c r="A919">
        <v>918</v>
      </c>
      <c r="B919" t="s">
        <v>962</v>
      </c>
      <c r="C919">
        <v>1</v>
      </c>
    </row>
    <row r="920" spans="1:3" x14ac:dyDescent="0.25">
      <c r="A920">
        <v>919</v>
      </c>
      <c r="B920" t="s">
        <v>963</v>
      </c>
      <c r="C920">
        <v>6</v>
      </c>
    </row>
    <row r="921" spans="1:3" x14ac:dyDescent="0.25">
      <c r="A921">
        <v>920</v>
      </c>
      <c r="B921" t="s">
        <v>964</v>
      </c>
      <c r="C921">
        <v>1</v>
      </c>
    </row>
    <row r="922" spans="1:3" x14ac:dyDescent="0.25">
      <c r="A922">
        <v>921</v>
      </c>
      <c r="B922" t="s">
        <v>965</v>
      </c>
      <c r="C922">
        <v>4</v>
      </c>
    </row>
    <row r="923" spans="1:3" x14ac:dyDescent="0.25">
      <c r="A923">
        <v>922</v>
      </c>
      <c r="B923" t="s">
        <v>966</v>
      </c>
      <c r="C923">
        <v>1</v>
      </c>
    </row>
    <row r="924" spans="1:3" x14ac:dyDescent="0.25">
      <c r="A924">
        <v>923</v>
      </c>
      <c r="B924" t="s">
        <v>967</v>
      </c>
      <c r="C924">
        <v>6</v>
      </c>
    </row>
    <row r="925" spans="1:3" x14ac:dyDescent="0.25">
      <c r="A925">
        <v>924</v>
      </c>
      <c r="B925" t="s">
        <v>968</v>
      </c>
      <c r="C925">
        <v>1</v>
      </c>
    </row>
    <row r="926" spans="1:3" x14ac:dyDescent="0.25">
      <c r="A926">
        <v>925</v>
      </c>
      <c r="B926" t="s">
        <v>969</v>
      </c>
      <c r="C926">
        <v>1</v>
      </c>
    </row>
    <row r="927" spans="1:3" x14ac:dyDescent="0.25">
      <c r="A927">
        <v>926</v>
      </c>
      <c r="B927" t="s">
        <v>970</v>
      </c>
      <c r="C927">
        <v>1</v>
      </c>
    </row>
    <row r="928" spans="1:3" x14ac:dyDescent="0.25">
      <c r="A928">
        <v>927</v>
      </c>
      <c r="B928" t="s">
        <v>971</v>
      </c>
      <c r="C928">
        <v>1</v>
      </c>
    </row>
    <row r="929" spans="1:3" x14ac:dyDescent="0.25">
      <c r="A929">
        <v>928</v>
      </c>
      <c r="B929" t="s">
        <v>972</v>
      </c>
      <c r="C929">
        <v>1</v>
      </c>
    </row>
    <row r="930" spans="1:3" x14ac:dyDescent="0.25">
      <c r="A930">
        <v>929</v>
      </c>
      <c r="B930" t="s">
        <v>973</v>
      </c>
      <c r="C930">
        <v>1</v>
      </c>
    </row>
    <row r="931" spans="1:3" x14ac:dyDescent="0.25">
      <c r="A931">
        <v>930</v>
      </c>
      <c r="B931" t="s">
        <v>974</v>
      </c>
      <c r="C931">
        <v>3</v>
      </c>
    </row>
    <row r="932" spans="1:3" x14ac:dyDescent="0.25">
      <c r="A932">
        <v>931</v>
      </c>
      <c r="B932" t="s">
        <v>975</v>
      </c>
      <c r="C932">
        <v>1</v>
      </c>
    </row>
    <row r="933" spans="1:3" x14ac:dyDescent="0.25">
      <c r="A933">
        <v>932</v>
      </c>
      <c r="B933" t="s">
        <v>976</v>
      </c>
      <c r="C933">
        <v>1</v>
      </c>
    </row>
    <row r="934" spans="1:3" x14ac:dyDescent="0.25">
      <c r="A934">
        <v>933</v>
      </c>
      <c r="B934" t="s">
        <v>977</v>
      </c>
      <c r="C934">
        <v>1</v>
      </c>
    </row>
    <row r="935" spans="1:3" x14ac:dyDescent="0.25">
      <c r="A935">
        <v>934</v>
      </c>
      <c r="B935" t="s">
        <v>978</v>
      </c>
      <c r="C935">
        <v>1</v>
      </c>
    </row>
    <row r="936" spans="1:3" x14ac:dyDescent="0.25">
      <c r="A936">
        <v>935</v>
      </c>
      <c r="B936" t="s">
        <v>979</v>
      </c>
      <c r="C936">
        <v>1</v>
      </c>
    </row>
    <row r="937" spans="1:3" x14ac:dyDescent="0.25">
      <c r="A937">
        <v>936</v>
      </c>
      <c r="B937" t="s">
        <v>980</v>
      </c>
      <c r="C937">
        <v>1</v>
      </c>
    </row>
    <row r="938" spans="1:3" x14ac:dyDescent="0.25">
      <c r="A938">
        <v>937</v>
      </c>
      <c r="B938" t="s">
        <v>981</v>
      </c>
      <c r="C938">
        <v>1</v>
      </c>
    </row>
    <row r="939" spans="1:3" x14ac:dyDescent="0.25">
      <c r="A939">
        <v>938</v>
      </c>
      <c r="B939" t="s">
        <v>982</v>
      </c>
      <c r="C939">
        <v>1</v>
      </c>
    </row>
    <row r="940" spans="1:3" x14ac:dyDescent="0.25">
      <c r="A940">
        <v>939</v>
      </c>
      <c r="B940" t="s">
        <v>983</v>
      </c>
      <c r="C940">
        <v>2</v>
      </c>
    </row>
    <row r="941" spans="1:3" x14ac:dyDescent="0.25">
      <c r="A941">
        <v>940</v>
      </c>
      <c r="B941" t="s">
        <v>984</v>
      </c>
      <c r="C941">
        <v>2</v>
      </c>
    </row>
    <row r="942" spans="1:3" x14ac:dyDescent="0.25">
      <c r="A942">
        <v>941</v>
      </c>
      <c r="B942" t="s">
        <v>985</v>
      </c>
      <c r="C942">
        <v>1</v>
      </c>
    </row>
    <row r="943" spans="1:3" x14ac:dyDescent="0.25">
      <c r="A943">
        <v>942</v>
      </c>
      <c r="B943" t="s">
        <v>986</v>
      </c>
      <c r="C943">
        <v>1</v>
      </c>
    </row>
    <row r="944" spans="1:3" x14ac:dyDescent="0.25">
      <c r="A944">
        <v>943</v>
      </c>
      <c r="B944" t="s">
        <v>987</v>
      </c>
      <c r="C944">
        <v>1</v>
      </c>
    </row>
    <row r="945" spans="1:3" x14ac:dyDescent="0.25">
      <c r="A945">
        <v>944</v>
      </c>
      <c r="B945" t="s">
        <v>988</v>
      </c>
      <c r="C945">
        <v>1</v>
      </c>
    </row>
    <row r="946" spans="1:3" x14ac:dyDescent="0.25">
      <c r="A946">
        <v>945</v>
      </c>
      <c r="B946" t="s">
        <v>989</v>
      </c>
      <c r="C946">
        <v>1</v>
      </c>
    </row>
    <row r="947" spans="1:3" x14ac:dyDescent="0.25">
      <c r="A947">
        <v>946</v>
      </c>
      <c r="B947" t="s">
        <v>990</v>
      </c>
      <c r="C947">
        <v>1</v>
      </c>
    </row>
    <row r="948" spans="1:3" x14ac:dyDescent="0.25">
      <c r="A948">
        <v>947</v>
      </c>
      <c r="B948" t="s">
        <v>991</v>
      </c>
      <c r="C948">
        <v>1</v>
      </c>
    </row>
    <row r="949" spans="1:3" x14ac:dyDescent="0.25">
      <c r="A949">
        <v>948</v>
      </c>
      <c r="B949" t="s">
        <v>992</v>
      </c>
      <c r="C949">
        <v>1</v>
      </c>
    </row>
    <row r="950" spans="1:3" x14ac:dyDescent="0.25">
      <c r="A950">
        <v>949</v>
      </c>
      <c r="B950" t="s">
        <v>993</v>
      </c>
      <c r="C950">
        <v>1</v>
      </c>
    </row>
    <row r="951" spans="1:3" x14ac:dyDescent="0.25">
      <c r="A951">
        <v>950</v>
      </c>
      <c r="B951" t="s">
        <v>994</v>
      </c>
      <c r="C951">
        <v>1</v>
      </c>
    </row>
    <row r="952" spans="1:3" x14ac:dyDescent="0.25">
      <c r="A952">
        <v>951</v>
      </c>
      <c r="B952" t="s">
        <v>995</v>
      </c>
      <c r="C952">
        <v>1</v>
      </c>
    </row>
    <row r="953" spans="1:3" x14ac:dyDescent="0.25">
      <c r="A953">
        <v>952</v>
      </c>
      <c r="B953" t="s">
        <v>996</v>
      </c>
      <c r="C953">
        <v>5</v>
      </c>
    </row>
    <row r="954" spans="1:3" x14ac:dyDescent="0.25">
      <c r="A954">
        <v>953</v>
      </c>
      <c r="B954" t="s">
        <v>997</v>
      </c>
      <c r="C954">
        <v>1</v>
      </c>
    </row>
    <row r="955" spans="1:3" x14ac:dyDescent="0.25">
      <c r="A955">
        <v>954</v>
      </c>
      <c r="B955" t="s">
        <v>998</v>
      </c>
      <c r="C955">
        <v>2</v>
      </c>
    </row>
    <row r="956" spans="1:3" x14ac:dyDescent="0.25">
      <c r="A956">
        <v>955</v>
      </c>
      <c r="B956" t="s">
        <v>999</v>
      </c>
      <c r="C956">
        <v>1</v>
      </c>
    </row>
    <row r="957" spans="1:3" x14ac:dyDescent="0.25">
      <c r="A957">
        <v>956</v>
      </c>
      <c r="B957" t="s">
        <v>1000</v>
      </c>
      <c r="C957">
        <v>1</v>
      </c>
    </row>
    <row r="958" spans="1:3" x14ac:dyDescent="0.25">
      <c r="A958">
        <v>957</v>
      </c>
      <c r="B958" t="s">
        <v>1001</v>
      </c>
      <c r="C958">
        <v>2</v>
      </c>
    </row>
    <row r="959" spans="1:3" x14ac:dyDescent="0.25">
      <c r="A959">
        <v>958</v>
      </c>
      <c r="B959" t="s">
        <v>1002</v>
      </c>
      <c r="C959">
        <v>1</v>
      </c>
    </row>
    <row r="960" spans="1:3" x14ac:dyDescent="0.25">
      <c r="A960">
        <v>959</v>
      </c>
      <c r="B960" t="s">
        <v>1003</v>
      </c>
      <c r="C960">
        <v>1</v>
      </c>
    </row>
    <row r="961" spans="1:3" x14ac:dyDescent="0.25">
      <c r="A961">
        <v>960</v>
      </c>
      <c r="B961" t="s">
        <v>1004</v>
      </c>
      <c r="C961">
        <v>1</v>
      </c>
    </row>
    <row r="962" spans="1:3" x14ac:dyDescent="0.25">
      <c r="A962">
        <v>961</v>
      </c>
      <c r="B962" t="s">
        <v>1005</v>
      </c>
      <c r="C962">
        <v>5</v>
      </c>
    </row>
    <row r="963" spans="1:3" x14ac:dyDescent="0.25">
      <c r="A963">
        <v>962</v>
      </c>
      <c r="B963" t="s">
        <v>1006</v>
      </c>
      <c r="C963">
        <v>1</v>
      </c>
    </row>
    <row r="964" spans="1:3" x14ac:dyDescent="0.25">
      <c r="A964">
        <v>963</v>
      </c>
      <c r="B964" t="s">
        <v>1007</v>
      </c>
      <c r="C964">
        <v>1</v>
      </c>
    </row>
    <row r="965" spans="1:3" x14ac:dyDescent="0.25">
      <c r="A965">
        <v>964</v>
      </c>
      <c r="B965" t="s">
        <v>1008</v>
      </c>
      <c r="C965">
        <v>1</v>
      </c>
    </row>
    <row r="966" spans="1:3" x14ac:dyDescent="0.25">
      <c r="A966">
        <v>965</v>
      </c>
      <c r="B966" t="s">
        <v>1009</v>
      </c>
      <c r="C966">
        <v>1</v>
      </c>
    </row>
    <row r="967" spans="1:3" x14ac:dyDescent="0.25">
      <c r="A967">
        <v>966</v>
      </c>
      <c r="B967" t="s">
        <v>1010</v>
      </c>
      <c r="C967">
        <v>3</v>
      </c>
    </row>
    <row r="968" spans="1:3" x14ac:dyDescent="0.25">
      <c r="A968">
        <v>967</v>
      </c>
      <c r="B968" t="s">
        <v>1011</v>
      </c>
      <c r="C968">
        <v>1</v>
      </c>
    </row>
    <row r="969" spans="1:3" x14ac:dyDescent="0.25">
      <c r="A969">
        <v>968</v>
      </c>
      <c r="B969" t="s">
        <v>1012</v>
      </c>
      <c r="C969">
        <v>1</v>
      </c>
    </row>
    <row r="970" spans="1:3" x14ac:dyDescent="0.25">
      <c r="A970">
        <v>969</v>
      </c>
      <c r="B970" t="s">
        <v>1013</v>
      </c>
      <c r="C970">
        <v>1</v>
      </c>
    </row>
    <row r="971" spans="1:3" x14ac:dyDescent="0.25">
      <c r="A971">
        <v>970</v>
      </c>
      <c r="B971" t="s">
        <v>1014</v>
      </c>
      <c r="C971">
        <v>5</v>
      </c>
    </row>
    <row r="972" spans="1:3" x14ac:dyDescent="0.25">
      <c r="A972">
        <v>971</v>
      </c>
      <c r="B972" t="s">
        <v>1015</v>
      </c>
      <c r="C972">
        <v>3</v>
      </c>
    </row>
    <row r="973" spans="1:3" x14ac:dyDescent="0.25">
      <c r="A973">
        <v>972</v>
      </c>
      <c r="B973" t="s">
        <v>1016</v>
      </c>
      <c r="C973">
        <v>5</v>
      </c>
    </row>
    <row r="974" spans="1:3" x14ac:dyDescent="0.25">
      <c r="A974">
        <v>973</v>
      </c>
      <c r="B974" t="s">
        <v>1017</v>
      </c>
      <c r="C974">
        <v>3</v>
      </c>
    </row>
    <row r="975" spans="1:3" x14ac:dyDescent="0.25">
      <c r="A975">
        <v>974</v>
      </c>
      <c r="B975" t="s">
        <v>1018</v>
      </c>
      <c r="C975">
        <v>1</v>
      </c>
    </row>
    <row r="976" spans="1:3" x14ac:dyDescent="0.25">
      <c r="A976">
        <v>975</v>
      </c>
      <c r="B976" t="s">
        <v>1019</v>
      </c>
      <c r="C976">
        <v>4</v>
      </c>
    </row>
    <row r="977" spans="1:3" x14ac:dyDescent="0.25">
      <c r="A977">
        <v>976</v>
      </c>
      <c r="B977" t="s">
        <v>1020</v>
      </c>
      <c r="C977">
        <v>2</v>
      </c>
    </row>
    <row r="978" spans="1:3" x14ac:dyDescent="0.25">
      <c r="A978">
        <v>977</v>
      </c>
      <c r="B978" t="s">
        <v>1021</v>
      </c>
      <c r="C978">
        <v>1</v>
      </c>
    </row>
    <row r="979" spans="1:3" x14ac:dyDescent="0.25">
      <c r="A979">
        <v>978</v>
      </c>
      <c r="B979" t="s">
        <v>1022</v>
      </c>
      <c r="C979">
        <v>1</v>
      </c>
    </row>
    <row r="980" spans="1:3" x14ac:dyDescent="0.25">
      <c r="A980">
        <v>979</v>
      </c>
      <c r="B980" t="s">
        <v>1023</v>
      </c>
      <c r="C980">
        <v>2</v>
      </c>
    </row>
    <row r="981" spans="1:3" x14ac:dyDescent="0.25">
      <c r="A981">
        <v>980</v>
      </c>
      <c r="B981" t="s">
        <v>1024</v>
      </c>
      <c r="C981">
        <v>1</v>
      </c>
    </row>
    <row r="982" spans="1:3" x14ac:dyDescent="0.25">
      <c r="A982">
        <v>981</v>
      </c>
      <c r="B982" t="s">
        <v>1025</v>
      </c>
      <c r="C982">
        <v>2</v>
      </c>
    </row>
    <row r="983" spans="1:3" x14ac:dyDescent="0.25">
      <c r="A983">
        <v>982</v>
      </c>
      <c r="B983" t="s">
        <v>1026</v>
      </c>
      <c r="C983">
        <v>2</v>
      </c>
    </row>
    <row r="984" spans="1:3" x14ac:dyDescent="0.25">
      <c r="A984">
        <v>983</v>
      </c>
      <c r="B984" t="s">
        <v>1027</v>
      </c>
      <c r="C984">
        <v>1</v>
      </c>
    </row>
    <row r="985" spans="1:3" x14ac:dyDescent="0.25">
      <c r="A985">
        <v>984</v>
      </c>
      <c r="B985" t="s">
        <v>1028</v>
      </c>
      <c r="C985">
        <v>1</v>
      </c>
    </row>
    <row r="986" spans="1:3" x14ac:dyDescent="0.25">
      <c r="A986">
        <v>985</v>
      </c>
      <c r="B986" t="s">
        <v>1029</v>
      </c>
      <c r="C986">
        <v>3</v>
      </c>
    </row>
    <row r="987" spans="1:3" x14ac:dyDescent="0.25">
      <c r="A987">
        <v>986</v>
      </c>
      <c r="B987" t="s">
        <v>1030</v>
      </c>
      <c r="C987">
        <v>2</v>
      </c>
    </row>
    <row r="988" spans="1:3" x14ac:dyDescent="0.25">
      <c r="A988">
        <v>987</v>
      </c>
      <c r="B988" t="s">
        <v>1031</v>
      </c>
      <c r="C988">
        <v>1</v>
      </c>
    </row>
    <row r="989" spans="1:3" x14ac:dyDescent="0.25">
      <c r="A989">
        <v>988</v>
      </c>
      <c r="B989" t="s">
        <v>1032</v>
      </c>
      <c r="C989">
        <v>1</v>
      </c>
    </row>
    <row r="990" spans="1:3" x14ac:dyDescent="0.25">
      <c r="A990">
        <v>989</v>
      </c>
      <c r="B990" t="s">
        <v>1033</v>
      </c>
      <c r="C990">
        <v>1</v>
      </c>
    </row>
    <row r="991" spans="1:3" x14ac:dyDescent="0.25">
      <c r="A991">
        <v>990</v>
      </c>
      <c r="B991" t="s">
        <v>1034</v>
      </c>
      <c r="C991">
        <v>5</v>
      </c>
    </row>
    <row r="992" spans="1:3" x14ac:dyDescent="0.25">
      <c r="A992">
        <v>991</v>
      </c>
      <c r="B992" t="s">
        <v>1035</v>
      </c>
      <c r="C992">
        <v>1</v>
      </c>
    </row>
    <row r="993" spans="1:3" x14ac:dyDescent="0.25">
      <c r="A993">
        <v>992</v>
      </c>
      <c r="B993" t="s">
        <v>1036</v>
      </c>
      <c r="C993">
        <v>4</v>
      </c>
    </row>
    <row r="994" spans="1:3" x14ac:dyDescent="0.25">
      <c r="A994">
        <v>993</v>
      </c>
      <c r="B994" t="s">
        <v>1037</v>
      </c>
      <c r="C994">
        <v>1</v>
      </c>
    </row>
    <row r="995" spans="1:3" x14ac:dyDescent="0.25">
      <c r="A995">
        <v>994</v>
      </c>
      <c r="B995" t="s">
        <v>1038</v>
      </c>
      <c r="C995">
        <v>1</v>
      </c>
    </row>
    <row r="996" spans="1:3" x14ac:dyDescent="0.25">
      <c r="A996">
        <v>995</v>
      </c>
      <c r="B996" t="s">
        <v>1039</v>
      </c>
      <c r="C996">
        <v>4</v>
      </c>
    </row>
    <row r="997" spans="1:3" x14ac:dyDescent="0.25">
      <c r="A997">
        <v>996</v>
      </c>
      <c r="B997" t="s">
        <v>1040</v>
      </c>
      <c r="C997">
        <v>1</v>
      </c>
    </row>
    <row r="998" spans="1:3" x14ac:dyDescent="0.25">
      <c r="A998">
        <v>997</v>
      </c>
      <c r="B998" t="s">
        <v>1041</v>
      </c>
      <c r="C998">
        <v>1</v>
      </c>
    </row>
    <row r="999" spans="1:3" x14ac:dyDescent="0.25">
      <c r="A999">
        <v>998</v>
      </c>
      <c r="B999" t="s">
        <v>1042</v>
      </c>
      <c r="C999">
        <v>4</v>
      </c>
    </row>
    <row r="1000" spans="1:3" x14ac:dyDescent="0.25">
      <c r="A1000">
        <v>999</v>
      </c>
      <c r="B1000" t="s">
        <v>1043</v>
      </c>
      <c r="C1000">
        <v>1</v>
      </c>
    </row>
    <row r="1001" spans="1:3" x14ac:dyDescent="0.25">
      <c r="A1001">
        <v>1000</v>
      </c>
      <c r="B1001" t="s">
        <v>1044</v>
      </c>
      <c r="C1001">
        <v>1</v>
      </c>
    </row>
    <row r="1002" spans="1:3" x14ac:dyDescent="0.25">
      <c r="A1002">
        <v>1001</v>
      </c>
      <c r="B1002" t="s">
        <v>1045</v>
      </c>
      <c r="C1002">
        <v>1</v>
      </c>
    </row>
    <row r="1003" spans="1:3" x14ac:dyDescent="0.25">
      <c r="A1003">
        <v>1002</v>
      </c>
      <c r="B1003" t="s">
        <v>1046</v>
      </c>
      <c r="C1003">
        <v>1</v>
      </c>
    </row>
    <row r="1004" spans="1:3" x14ac:dyDescent="0.25">
      <c r="A1004">
        <v>1003</v>
      </c>
      <c r="B1004" t="s">
        <v>1047</v>
      </c>
      <c r="C1004">
        <v>4</v>
      </c>
    </row>
    <row r="1005" spans="1:3" x14ac:dyDescent="0.25">
      <c r="A1005">
        <v>1004</v>
      </c>
      <c r="B1005" t="s">
        <v>1048</v>
      </c>
      <c r="C1005">
        <v>4</v>
      </c>
    </row>
    <row r="1006" spans="1:3" x14ac:dyDescent="0.25">
      <c r="A1006">
        <v>1005</v>
      </c>
      <c r="B1006" t="s">
        <v>1049</v>
      </c>
      <c r="C1006">
        <v>2</v>
      </c>
    </row>
    <row r="1007" spans="1:3" x14ac:dyDescent="0.25">
      <c r="A1007">
        <v>1006</v>
      </c>
      <c r="B1007" t="s">
        <v>1050</v>
      </c>
      <c r="C1007">
        <v>1</v>
      </c>
    </row>
    <row r="1008" spans="1:3" x14ac:dyDescent="0.25">
      <c r="A1008">
        <v>1007</v>
      </c>
      <c r="B1008" t="s">
        <v>1051</v>
      </c>
      <c r="C1008">
        <v>1</v>
      </c>
    </row>
    <row r="1009" spans="1:3" x14ac:dyDescent="0.25">
      <c r="A1009">
        <v>1008</v>
      </c>
      <c r="B1009" t="s">
        <v>1052</v>
      </c>
      <c r="C1009">
        <v>2</v>
      </c>
    </row>
    <row r="1010" spans="1:3" x14ac:dyDescent="0.25">
      <c r="A1010">
        <v>1009</v>
      </c>
      <c r="B1010" t="s">
        <v>1053</v>
      </c>
      <c r="C1010">
        <v>1</v>
      </c>
    </row>
    <row r="1011" spans="1:3" x14ac:dyDescent="0.25">
      <c r="A1011">
        <v>1010</v>
      </c>
      <c r="B1011" t="s">
        <v>1054</v>
      </c>
      <c r="C1011">
        <v>4</v>
      </c>
    </row>
    <row r="1012" spans="1:3" x14ac:dyDescent="0.25">
      <c r="A1012">
        <v>1011</v>
      </c>
      <c r="B1012" t="s">
        <v>1055</v>
      </c>
      <c r="C1012">
        <v>1</v>
      </c>
    </row>
    <row r="1013" spans="1:3" x14ac:dyDescent="0.25">
      <c r="A1013">
        <v>1012</v>
      </c>
      <c r="B1013" t="s">
        <v>1056</v>
      </c>
      <c r="C1013">
        <v>1</v>
      </c>
    </row>
    <row r="1014" spans="1:3" x14ac:dyDescent="0.25">
      <c r="A1014">
        <v>1013</v>
      </c>
      <c r="B1014" t="s">
        <v>1057</v>
      </c>
      <c r="C1014">
        <v>1</v>
      </c>
    </row>
    <row r="1015" spans="1:3" x14ac:dyDescent="0.25">
      <c r="A1015">
        <v>1014</v>
      </c>
      <c r="B1015" t="s">
        <v>1058</v>
      </c>
      <c r="C1015">
        <v>4</v>
      </c>
    </row>
    <row r="1016" spans="1:3" x14ac:dyDescent="0.25">
      <c r="A1016">
        <v>1015</v>
      </c>
      <c r="B1016" t="s">
        <v>1059</v>
      </c>
      <c r="C1016">
        <v>2</v>
      </c>
    </row>
    <row r="1017" spans="1:3" x14ac:dyDescent="0.25">
      <c r="A1017">
        <v>1016</v>
      </c>
      <c r="B1017" t="s">
        <v>1060</v>
      </c>
      <c r="C1017">
        <v>1</v>
      </c>
    </row>
    <row r="1018" spans="1:3" x14ac:dyDescent="0.25">
      <c r="A1018">
        <v>1017</v>
      </c>
      <c r="B1018" t="s">
        <v>1061</v>
      </c>
      <c r="C1018">
        <v>1</v>
      </c>
    </row>
    <row r="1019" spans="1:3" x14ac:dyDescent="0.25">
      <c r="A1019">
        <v>1018</v>
      </c>
      <c r="B1019" t="s">
        <v>1062</v>
      </c>
      <c r="C1019">
        <v>1</v>
      </c>
    </row>
    <row r="1020" spans="1:3" x14ac:dyDescent="0.25">
      <c r="A1020">
        <v>1019</v>
      </c>
      <c r="B1020" t="s">
        <v>1063</v>
      </c>
      <c r="C1020">
        <v>5</v>
      </c>
    </row>
    <row r="1021" spans="1:3" x14ac:dyDescent="0.25">
      <c r="A1021">
        <v>1020</v>
      </c>
      <c r="B1021" t="s">
        <v>1064</v>
      </c>
      <c r="C1021">
        <v>1</v>
      </c>
    </row>
    <row r="1022" spans="1:3" x14ac:dyDescent="0.25">
      <c r="A1022">
        <v>1021</v>
      </c>
      <c r="B1022" t="s">
        <v>1065</v>
      </c>
      <c r="C1022">
        <v>2</v>
      </c>
    </row>
    <row r="1023" spans="1:3" x14ac:dyDescent="0.25">
      <c r="A1023">
        <v>1022</v>
      </c>
      <c r="B1023" t="s">
        <v>1066</v>
      </c>
      <c r="C1023">
        <v>5</v>
      </c>
    </row>
    <row r="1024" spans="1:3" x14ac:dyDescent="0.25">
      <c r="A1024">
        <v>1023</v>
      </c>
      <c r="B1024" t="s">
        <v>1067</v>
      </c>
      <c r="C1024">
        <v>2</v>
      </c>
    </row>
    <row r="1025" spans="1:3" x14ac:dyDescent="0.25">
      <c r="A1025">
        <v>1024</v>
      </c>
      <c r="B1025" t="s">
        <v>1068</v>
      </c>
      <c r="C1025">
        <v>4</v>
      </c>
    </row>
    <row r="1026" spans="1:3" x14ac:dyDescent="0.25">
      <c r="A1026">
        <v>1025</v>
      </c>
      <c r="B1026" t="s">
        <v>1069</v>
      </c>
      <c r="C1026">
        <v>5</v>
      </c>
    </row>
    <row r="1027" spans="1:3" x14ac:dyDescent="0.25">
      <c r="A1027">
        <v>1026</v>
      </c>
      <c r="B1027" t="s">
        <v>1070</v>
      </c>
      <c r="C1027">
        <v>1</v>
      </c>
    </row>
    <row r="1028" spans="1:3" x14ac:dyDescent="0.25">
      <c r="A1028">
        <v>1027</v>
      </c>
      <c r="B1028" t="s">
        <v>1071</v>
      </c>
      <c r="C1028">
        <v>1</v>
      </c>
    </row>
    <row r="1029" spans="1:3" x14ac:dyDescent="0.25">
      <c r="A1029">
        <v>1028</v>
      </c>
      <c r="B1029" t="s">
        <v>1072</v>
      </c>
      <c r="C1029">
        <v>1</v>
      </c>
    </row>
    <row r="1030" spans="1:3" x14ac:dyDescent="0.25">
      <c r="A1030">
        <v>1029</v>
      </c>
      <c r="B1030" t="s">
        <v>1073</v>
      </c>
      <c r="C1030">
        <v>1</v>
      </c>
    </row>
    <row r="1031" spans="1:3" x14ac:dyDescent="0.25">
      <c r="A1031">
        <v>1030</v>
      </c>
      <c r="B1031" t="s">
        <v>1074</v>
      </c>
      <c r="C1031">
        <v>1</v>
      </c>
    </row>
    <row r="1032" spans="1:3" x14ac:dyDescent="0.25">
      <c r="A1032">
        <v>1031</v>
      </c>
      <c r="B1032" t="s">
        <v>1075</v>
      </c>
      <c r="C1032">
        <v>1</v>
      </c>
    </row>
    <row r="1033" spans="1:3" x14ac:dyDescent="0.25">
      <c r="A1033">
        <v>1032</v>
      </c>
      <c r="B1033" t="s">
        <v>1076</v>
      </c>
      <c r="C1033">
        <v>1</v>
      </c>
    </row>
    <row r="1034" spans="1:3" x14ac:dyDescent="0.25">
      <c r="A1034">
        <v>1033</v>
      </c>
      <c r="B1034" t="s">
        <v>1077</v>
      </c>
      <c r="C1034">
        <v>1</v>
      </c>
    </row>
    <row r="1035" spans="1:3" x14ac:dyDescent="0.25">
      <c r="A1035">
        <v>1034</v>
      </c>
      <c r="B1035" t="s">
        <v>1078</v>
      </c>
      <c r="C1035">
        <v>4</v>
      </c>
    </row>
    <row r="1036" spans="1:3" x14ac:dyDescent="0.25">
      <c r="A1036">
        <v>1035</v>
      </c>
      <c r="B1036" t="s">
        <v>1079</v>
      </c>
      <c r="C1036">
        <v>1</v>
      </c>
    </row>
    <row r="1037" spans="1:3" x14ac:dyDescent="0.25">
      <c r="A1037">
        <v>1036</v>
      </c>
      <c r="B1037" t="s">
        <v>1080</v>
      </c>
      <c r="C1037">
        <v>4</v>
      </c>
    </row>
    <row r="1038" spans="1:3" x14ac:dyDescent="0.25">
      <c r="A1038">
        <v>1037</v>
      </c>
      <c r="B1038" t="s">
        <v>1081</v>
      </c>
      <c r="C1038">
        <v>1</v>
      </c>
    </row>
    <row r="1039" spans="1:3" x14ac:dyDescent="0.25">
      <c r="A1039">
        <v>1038</v>
      </c>
      <c r="B1039" t="s">
        <v>1082</v>
      </c>
      <c r="C1039">
        <v>1</v>
      </c>
    </row>
    <row r="1040" spans="1:3" x14ac:dyDescent="0.25">
      <c r="A1040">
        <v>1039</v>
      </c>
      <c r="B1040" t="s">
        <v>1083</v>
      </c>
      <c r="C1040">
        <v>3</v>
      </c>
    </row>
    <row r="1041" spans="1:3" x14ac:dyDescent="0.25">
      <c r="A1041">
        <v>1040</v>
      </c>
      <c r="B1041" t="s">
        <v>1084</v>
      </c>
      <c r="C1041">
        <v>1</v>
      </c>
    </row>
    <row r="1042" spans="1:3" x14ac:dyDescent="0.25">
      <c r="A1042">
        <v>1041</v>
      </c>
      <c r="B1042" t="s">
        <v>1085</v>
      </c>
      <c r="C1042">
        <v>1</v>
      </c>
    </row>
    <row r="1043" spans="1:3" x14ac:dyDescent="0.25">
      <c r="A1043">
        <v>1042</v>
      </c>
      <c r="B1043" t="s">
        <v>1086</v>
      </c>
      <c r="C1043">
        <v>1</v>
      </c>
    </row>
    <row r="1044" spans="1:3" x14ac:dyDescent="0.25">
      <c r="A1044">
        <v>1043</v>
      </c>
      <c r="B1044" t="s">
        <v>1087</v>
      </c>
      <c r="C1044">
        <v>1</v>
      </c>
    </row>
    <row r="1045" spans="1:3" x14ac:dyDescent="0.25">
      <c r="A1045">
        <v>1044</v>
      </c>
      <c r="B1045" t="s">
        <v>1088</v>
      </c>
      <c r="C1045">
        <v>1</v>
      </c>
    </row>
    <row r="1046" spans="1:3" x14ac:dyDescent="0.25">
      <c r="A1046">
        <v>1045</v>
      </c>
      <c r="B1046" t="s">
        <v>1089</v>
      </c>
      <c r="C1046">
        <v>1</v>
      </c>
    </row>
    <row r="1047" spans="1:3" x14ac:dyDescent="0.25">
      <c r="A1047">
        <v>1046</v>
      </c>
      <c r="B1047" t="s">
        <v>1090</v>
      </c>
      <c r="C1047">
        <v>1</v>
      </c>
    </row>
    <row r="1048" spans="1:3" x14ac:dyDescent="0.25">
      <c r="A1048">
        <v>1047</v>
      </c>
      <c r="B1048" t="s">
        <v>1091</v>
      </c>
      <c r="C1048">
        <v>2</v>
      </c>
    </row>
    <row r="1049" spans="1:3" x14ac:dyDescent="0.25">
      <c r="A1049">
        <v>1048</v>
      </c>
      <c r="B1049" t="s">
        <v>1092</v>
      </c>
      <c r="C1049">
        <v>1</v>
      </c>
    </row>
    <row r="1050" spans="1:3" x14ac:dyDescent="0.25">
      <c r="A1050">
        <v>1049</v>
      </c>
      <c r="B1050" t="s">
        <v>1093</v>
      </c>
      <c r="C1050">
        <v>1</v>
      </c>
    </row>
    <row r="1051" spans="1:3" x14ac:dyDescent="0.25">
      <c r="A1051">
        <v>1050</v>
      </c>
      <c r="B1051" t="s">
        <v>1094</v>
      </c>
      <c r="C1051">
        <v>1</v>
      </c>
    </row>
    <row r="1052" spans="1:3" x14ac:dyDescent="0.25">
      <c r="A1052">
        <v>1051</v>
      </c>
      <c r="B1052" t="s">
        <v>1095</v>
      </c>
      <c r="C1052">
        <v>1</v>
      </c>
    </row>
    <row r="1053" spans="1:3" x14ac:dyDescent="0.25">
      <c r="A1053">
        <v>1052</v>
      </c>
      <c r="B1053" t="s">
        <v>1096</v>
      </c>
      <c r="C1053">
        <v>1</v>
      </c>
    </row>
    <row r="1054" spans="1:3" x14ac:dyDescent="0.25">
      <c r="A1054">
        <v>1053</v>
      </c>
      <c r="B1054" t="s">
        <v>1097</v>
      </c>
      <c r="C1054">
        <v>1</v>
      </c>
    </row>
    <row r="1055" spans="1:3" x14ac:dyDescent="0.25">
      <c r="A1055">
        <v>1054</v>
      </c>
      <c r="B1055" t="s">
        <v>1098</v>
      </c>
      <c r="C1055">
        <v>4</v>
      </c>
    </row>
    <row r="1056" spans="1:3" x14ac:dyDescent="0.25">
      <c r="A1056">
        <v>1055</v>
      </c>
      <c r="B1056" t="s">
        <v>1099</v>
      </c>
      <c r="C1056">
        <v>1</v>
      </c>
    </row>
    <row r="1057" spans="1:3" x14ac:dyDescent="0.25">
      <c r="A1057">
        <v>1056</v>
      </c>
      <c r="B1057" t="s">
        <v>1100</v>
      </c>
      <c r="C1057">
        <v>1</v>
      </c>
    </row>
    <row r="1058" spans="1:3" x14ac:dyDescent="0.25">
      <c r="A1058">
        <v>1057</v>
      </c>
      <c r="B1058" t="s">
        <v>1101</v>
      </c>
      <c r="C1058">
        <v>1</v>
      </c>
    </row>
    <row r="1059" spans="1:3" x14ac:dyDescent="0.25">
      <c r="A1059">
        <v>1058</v>
      </c>
      <c r="B1059" t="s">
        <v>1102</v>
      </c>
      <c r="C1059">
        <v>1</v>
      </c>
    </row>
    <row r="1060" spans="1:3" x14ac:dyDescent="0.25">
      <c r="A1060">
        <v>1059</v>
      </c>
      <c r="B1060" t="s">
        <v>1103</v>
      </c>
      <c r="C1060">
        <v>1</v>
      </c>
    </row>
    <row r="1061" spans="1:3" x14ac:dyDescent="0.25">
      <c r="A1061">
        <v>1060</v>
      </c>
      <c r="B1061" t="s">
        <v>1104</v>
      </c>
      <c r="C1061">
        <v>3</v>
      </c>
    </row>
    <row r="1062" spans="1:3" x14ac:dyDescent="0.25">
      <c r="A1062">
        <v>1061</v>
      </c>
      <c r="B1062" t="s">
        <v>1105</v>
      </c>
      <c r="C1062">
        <v>1</v>
      </c>
    </row>
    <row r="1063" spans="1:3" x14ac:dyDescent="0.25">
      <c r="A1063">
        <v>1062</v>
      </c>
      <c r="B1063" t="s">
        <v>1106</v>
      </c>
      <c r="C1063">
        <v>1</v>
      </c>
    </row>
    <row r="1064" spans="1:3" x14ac:dyDescent="0.25">
      <c r="A1064">
        <v>1063</v>
      </c>
      <c r="B1064" t="s">
        <v>1107</v>
      </c>
      <c r="C1064">
        <v>1</v>
      </c>
    </row>
    <row r="1065" spans="1:3" x14ac:dyDescent="0.25">
      <c r="A1065">
        <v>1064</v>
      </c>
      <c r="B1065" t="s">
        <v>1108</v>
      </c>
      <c r="C1065">
        <v>4</v>
      </c>
    </row>
    <row r="1066" spans="1:3" x14ac:dyDescent="0.25">
      <c r="A1066">
        <v>1065</v>
      </c>
      <c r="B1066" t="s">
        <v>1109</v>
      </c>
      <c r="C1066">
        <v>6</v>
      </c>
    </row>
    <row r="1067" spans="1:3" x14ac:dyDescent="0.25">
      <c r="A1067">
        <v>1066</v>
      </c>
      <c r="B1067" t="s">
        <v>1110</v>
      </c>
      <c r="C1067">
        <v>1</v>
      </c>
    </row>
    <row r="1068" spans="1:3" x14ac:dyDescent="0.25">
      <c r="A1068">
        <v>1067</v>
      </c>
      <c r="B1068" t="s">
        <v>1111</v>
      </c>
      <c r="C1068">
        <v>1</v>
      </c>
    </row>
    <row r="1069" spans="1:3" x14ac:dyDescent="0.25">
      <c r="A1069">
        <v>1068</v>
      </c>
      <c r="B1069" t="s">
        <v>1112</v>
      </c>
      <c r="C1069">
        <v>2</v>
      </c>
    </row>
    <row r="1070" spans="1:3" x14ac:dyDescent="0.25">
      <c r="A1070">
        <v>1069</v>
      </c>
      <c r="B1070" t="s">
        <v>1113</v>
      </c>
      <c r="C1070">
        <v>1</v>
      </c>
    </row>
    <row r="1071" spans="1:3" x14ac:dyDescent="0.25">
      <c r="A1071">
        <v>1070</v>
      </c>
      <c r="B1071" t="s">
        <v>1114</v>
      </c>
      <c r="C1071">
        <v>1</v>
      </c>
    </row>
    <row r="1072" spans="1:3" x14ac:dyDescent="0.25">
      <c r="A1072">
        <v>1071</v>
      </c>
      <c r="B1072" t="s">
        <v>1115</v>
      </c>
      <c r="C1072">
        <v>1</v>
      </c>
    </row>
    <row r="1073" spans="1:3" x14ac:dyDescent="0.25">
      <c r="A1073">
        <v>1072</v>
      </c>
      <c r="B1073" t="s">
        <v>1116</v>
      </c>
      <c r="C1073">
        <v>2</v>
      </c>
    </row>
    <row r="1074" spans="1:3" x14ac:dyDescent="0.25">
      <c r="A1074">
        <v>1073</v>
      </c>
      <c r="B1074" t="s">
        <v>1117</v>
      </c>
      <c r="C1074">
        <v>1</v>
      </c>
    </row>
    <row r="1075" spans="1:3" x14ac:dyDescent="0.25">
      <c r="A1075">
        <v>1074</v>
      </c>
      <c r="B1075" t="s">
        <v>1118</v>
      </c>
      <c r="C1075">
        <v>1</v>
      </c>
    </row>
    <row r="1076" spans="1:3" x14ac:dyDescent="0.25">
      <c r="A1076">
        <v>1075</v>
      </c>
      <c r="B1076" t="s">
        <v>1119</v>
      </c>
      <c r="C1076">
        <v>2</v>
      </c>
    </row>
    <row r="1077" spans="1:3" x14ac:dyDescent="0.25">
      <c r="A1077">
        <v>1076</v>
      </c>
      <c r="B1077" t="s">
        <v>1120</v>
      </c>
      <c r="C1077">
        <v>1</v>
      </c>
    </row>
    <row r="1078" spans="1:3" x14ac:dyDescent="0.25">
      <c r="A1078">
        <v>1077</v>
      </c>
      <c r="B1078" t="s">
        <v>1121</v>
      </c>
      <c r="C1078">
        <v>1</v>
      </c>
    </row>
    <row r="1079" spans="1:3" x14ac:dyDescent="0.25">
      <c r="A1079">
        <v>1078</v>
      </c>
      <c r="B1079" t="s">
        <v>1122</v>
      </c>
      <c r="C1079">
        <v>1</v>
      </c>
    </row>
    <row r="1080" spans="1:3" x14ac:dyDescent="0.25">
      <c r="A1080">
        <v>1079</v>
      </c>
      <c r="B1080" t="s">
        <v>1123</v>
      </c>
      <c r="C1080">
        <v>1</v>
      </c>
    </row>
    <row r="1081" spans="1:3" x14ac:dyDescent="0.25">
      <c r="A1081">
        <v>1080</v>
      </c>
      <c r="B1081" t="s">
        <v>1124</v>
      </c>
      <c r="C1081">
        <v>1</v>
      </c>
    </row>
    <row r="1082" spans="1:3" x14ac:dyDescent="0.25">
      <c r="A1082">
        <v>1081</v>
      </c>
      <c r="B1082" t="s">
        <v>1125</v>
      </c>
      <c r="C1082">
        <v>2</v>
      </c>
    </row>
    <row r="1083" spans="1:3" x14ac:dyDescent="0.25">
      <c r="A1083">
        <v>1082</v>
      </c>
      <c r="B1083" t="s">
        <v>1126</v>
      </c>
      <c r="C1083">
        <v>1</v>
      </c>
    </row>
    <row r="1084" spans="1:3" x14ac:dyDescent="0.25">
      <c r="A1084">
        <v>1083</v>
      </c>
      <c r="B1084" t="s">
        <v>1127</v>
      </c>
      <c r="C1084">
        <v>4</v>
      </c>
    </row>
    <row r="1085" spans="1:3" x14ac:dyDescent="0.25">
      <c r="A1085">
        <v>1084</v>
      </c>
      <c r="B1085" t="s">
        <v>1128</v>
      </c>
      <c r="C1085">
        <v>1</v>
      </c>
    </row>
    <row r="1086" spans="1:3" x14ac:dyDescent="0.25">
      <c r="A1086">
        <v>1085</v>
      </c>
      <c r="B1086" t="s">
        <v>1129</v>
      </c>
      <c r="C1086">
        <v>1</v>
      </c>
    </row>
    <row r="1087" spans="1:3" x14ac:dyDescent="0.25">
      <c r="A1087">
        <v>1086</v>
      </c>
      <c r="B1087" t="s">
        <v>1130</v>
      </c>
      <c r="C1087">
        <v>1</v>
      </c>
    </row>
    <row r="1088" spans="1:3" x14ac:dyDescent="0.25">
      <c r="A1088">
        <v>1087</v>
      </c>
      <c r="B1088" t="s">
        <v>1131</v>
      </c>
      <c r="C1088">
        <v>1</v>
      </c>
    </row>
    <row r="1089" spans="1:3" x14ac:dyDescent="0.25">
      <c r="A1089">
        <v>1088</v>
      </c>
      <c r="B1089" t="s">
        <v>1132</v>
      </c>
      <c r="C1089">
        <v>6</v>
      </c>
    </row>
    <row r="1090" spans="1:3" x14ac:dyDescent="0.25">
      <c r="A1090">
        <v>1089</v>
      </c>
      <c r="B1090" t="s">
        <v>1133</v>
      </c>
      <c r="C1090">
        <v>1</v>
      </c>
    </row>
    <row r="1091" spans="1:3" x14ac:dyDescent="0.25">
      <c r="A1091">
        <v>1090</v>
      </c>
      <c r="B1091" t="s">
        <v>1134</v>
      </c>
      <c r="C1091">
        <v>1</v>
      </c>
    </row>
    <row r="1092" spans="1:3" x14ac:dyDescent="0.25">
      <c r="A1092">
        <v>1091</v>
      </c>
      <c r="B1092" t="s">
        <v>1135</v>
      </c>
      <c r="C1092">
        <v>1</v>
      </c>
    </row>
    <row r="1093" spans="1:3" x14ac:dyDescent="0.25">
      <c r="A1093">
        <v>1092</v>
      </c>
      <c r="B1093" t="s">
        <v>1136</v>
      </c>
      <c r="C1093">
        <v>1</v>
      </c>
    </row>
    <row r="1094" spans="1:3" x14ac:dyDescent="0.25">
      <c r="A1094">
        <v>1093</v>
      </c>
      <c r="B1094" t="s">
        <v>1137</v>
      </c>
      <c r="C1094">
        <v>6</v>
      </c>
    </row>
    <row r="1095" spans="1:3" x14ac:dyDescent="0.25">
      <c r="A1095">
        <v>1094</v>
      </c>
      <c r="B1095" t="s">
        <v>1138</v>
      </c>
      <c r="C1095">
        <v>1</v>
      </c>
    </row>
    <row r="1096" spans="1:3" x14ac:dyDescent="0.25">
      <c r="A1096">
        <v>1095</v>
      </c>
      <c r="B1096" t="s">
        <v>1139</v>
      </c>
      <c r="C1096">
        <v>5</v>
      </c>
    </row>
    <row r="1097" spans="1:3" x14ac:dyDescent="0.25">
      <c r="A1097">
        <v>1096</v>
      </c>
      <c r="B1097" t="s">
        <v>1140</v>
      </c>
      <c r="C1097">
        <v>1</v>
      </c>
    </row>
    <row r="1098" spans="1:3" x14ac:dyDescent="0.25">
      <c r="A1098">
        <v>1097</v>
      </c>
      <c r="B1098" t="s">
        <v>1141</v>
      </c>
      <c r="C1098">
        <v>2</v>
      </c>
    </row>
    <row r="1099" spans="1:3" x14ac:dyDescent="0.25">
      <c r="A1099">
        <v>1098</v>
      </c>
      <c r="B1099" t="s">
        <v>1142</v>
      </c>
      <c r="C1099">
        <v>1</v>
      </c>
    </row>
    <row r="1100" spans="1:3" x14ac:dyDescent="0.25">
      <c r="A1100">
        <v>1099</v>
      </c>
      <c r="B1100" t="s">
        <v>1143</v>
      </c>
      <c r="C1100">
        <v>1</v>
      </c>
    </row>
    <row r="1101" spans="1:3" x14ac:dyDescent="0.25">
      <c r="A1101">
        <v>1100</v>
      </c>
      <c r="B1101" t="s">
        <v>1144</v>
      </c>
      <c r="C1101">
        <v>4</v>
      </c>
    </row>
    <row r="1102" spans="1:3" x14ac:dyDescent="0.25">
      <c r="A1102">
        <v>1101</v>
      </c>
      <c r="B1102" t="s">
        <v>1145</v>
      </c>
      <c r="C1102">
        <v>1</v>
      </c>
    </row>
    <row r="1103" spans="1:3" x14ac:dyDescent="0.25">
      <c r="A1103">
        <v>1102</v>
      </c>
      <c r="B1103" t="s">
        <v>1146</v>
      </c>
      <c r="C1103">
        <v>1</v>
      </c>
    </row>
    <row r="1104" spans="1:3" x14ac:dyDescent="0.25">
      <c r="A1104">
        <v>1103</v>
      </c>
      <c r="B1104" t="s">
        <v>1147</v>
      </c>
      <c r="C1104">
        <v>3</v>
      </c>
    </row>
    <row r="1105" spans="1:3" x14ac:dyDescent="0.25">
      <c r="A1105">
        <v>1104</v>
      </c>
      <c r="B1105" t="s">
        <v>1148</v>
      </c>
      <c r="C1105">
        <v>1</v>
      </c>
    </row>
    <row r="1106" spans="1:3" x14ac:dyDescent="0.25">
      <c r="A1106">
        <v>1105</v>
      </c>
      <c r="B1106" t="s">
        <v>1149</v>
      </c>
      <c r="C1106">
        <v>4</v>
      </c>
    </row>
    <row r="1107" spans="1:3" x14ac:dyDescent="0.25">
      <c r="A1107">
        <v>1106</v>
      </c>
      <c r="B1107" t="s">
        <v>1150</v>
      </c>
      <c r="C1107">
        <v>1</v>
      </c>
    </row>
    <row r="1108" spans="1:3" x14ac:dyDescent="0.25">
      <c r="A1108">
        <v>1107</v>
      </c>
      <c r="B1108" t="s">
        <v>1151</v>
      </c>
      <c r="C1108">
        <v>4</v>
      </c>
    </row>
    <row r="1109" spans="1:3" x14ac:dyDescent="0.25">
      <c r="A1109">
        <v>1108</v>
      </c>
      <c r="B1109" t="s">
        <v>1152</v>
      </c>
      <c r="C1109">
        <v>1</v>
      </c>
    </row>
    <row r="1110" spans="1:3" x14ac:dyDescent="0.25">
      <c r="A1110">
        <v>1109</v>
      </c>
      <c r="B1110" t="s">
        <v>1153</v>
      </c>
      <c r="C1110">
        <v>6</v>
      </c>
    </row>
    <row r="1111" spans="1:3" x14ac:dyDescent="0.25">
      <c r="A1111">
        <v>1110</v>
      </c>
      <c r="B1111" t="s">
        <v>1154</v>
      </c>
      <c r="C1111">
        <v>1</v>
      </c>
    </row>
    <row r="1112" spans="1:3" x14ac:dyDescent="0.25">
      <c r="A1112">
        <v>1111</v>
      </c>
      <c r="B1112" t="s">
        <v>1155</v>
      </c>
      <c r="C1112">
        <v>4</v>
      </c>
    </row>
    <row r="1113" spans="1:3" x14ac:dyDescent="0.25">
      <c r="A1113">
        <v>1112</v>
      </c>
      <c r="B1113" t="s">
        <v>1156</v>
      </c>
      <c r="C1113">
        <v>1</v>
      </c>
    </row>
    <row r="1114" spans="1:3" x14ac:dyDescent="0.25">
      <c r="A1114">
        <v>1113</v>
      </c>
      <c r="B1114" t="s">
        <v>1157</v>
      </c>
      <c r="C1114">
        <v>5</v>
      </c>
    </row>
    <row r="1115" spans="1:3" x14ac:dyDescent="0.25">
      <c r="A1115">
        <v>1114</v>
      </c>
      <c r="B1115" t="s">
        <v>1158</v>
      </c>
      <c r="C1115">
        <v>1</v>
      </c>
    </row>
    <row r="1116" spans="1:3" x14ac:dyDescent="0.25">
      <c r="A1116">
        <v>1115</v>
      </c>
      <c r="B1116" t="s">
        <v>1159</v>
      </c>
      <c r="C1116">
        <v>6</v>
      </c>
    </row>
    <row r="1117" spans="1:3" x14ac:dyDescent="0.25">
      <c r="A1117">
        <v>1116</v>
      </c>
      <c r="B1117" t="s">
        <v>1160</v>
      </c>
      <c r="C1117">
        <v>1</v>
      </c>
    </row>
    <row r="1118" spans="1:3" x14ac:dyDescent="0.25">
      <c r="A1118">
        <v>1117</v>
      </c>
      <c r="B1118" t="s">
        <v>1161</v>
      </c>
      <c r="C1118">
        <v>2</v>
      </c>
    </row>
    <row r="1119" spans="1:3" x14ac:dyDescent="0.25">
      <c r="A1119">
        <v>1118</v>
      </c>
      <c r="B1119" t="s">
        <v>1162</v>
      </c>
      <c r="C1119">
        <v>5</v>
      </c>
    </row>
    <row r="1120" spans="1:3" x14ac:dyDescent="0.25">
      <c r="A1120">
        <v>1119</v>
      </c>
      <c r="B1120" t="s">
        <v>1163</v>
      </c>
      <c r="C1120">
        <v>5</v>
      </c>
    </row>
    <row r="1121" spans="1:3" x14ac:dyDescent="0.25">
      <c r="A1121">
        <v>1120</v>
      </c>
      <c r="B1121" t="s">
        <v>1164</v>
      </c>
      <c r="C1121">
        <v>1</v>
      </c>
    </row>
    <row r="1122" spans="1:3" x14ac:dyDescent="0.25">
      <c r="A1122">
        <v>1121</v>
      </c>
      <c r="B1122" t="s">
        <v>1165</v>
      </c>
      <c r="C1122">
        <v>1</v>
      </c>
    </row>
    <row r="1123" spans="1:3" x14ac:dyDescent="0.25">
      <c r="A1123">
        <v>1122</v>
      </c>
      <c r="B1123" t="s">
        <v>1166</v>
      </c>
      <c r="C1123">
        <v>1</v>
      </c>
    </row>
    <row r="1124" spans="1:3" x14ac:dyDescent="0.25">
      <c r="A1124">
        <v>1123</v>
      </c>
      <c r="B1124" t="s">
        <v>1167</v>
      </c>
      <c r="C1124">
        <v>1</v>
      </c>
    </row>
    <row r="1125" spans="1:3" x14ac:dyDescent="0.25">
      <c r="A1125">
        <v>1124</v>
      </c>
      <c r="B1125" t="s">
        <v>1168</v>
      </c>
      <c r="C1125">
        <v>1</v>
      </c>
    </row>
    <row r="1126" spans="1:3" x14ac:dyDescent="0.25">
      <c r="A1126">
        <v>1125</v>
      </c>
      <c r="B1126" t="s">
        <v>1169</v>
      </c>
      <c r="C1126">
        <v>1</v>
      </c>
    </row>
    <row r="1127" spans="1:3" x14ac:dyDescent="0.25">
      <c r="A1127">
        <v>1126</v>
      </c>
      <c r="B1127" t="s">
        <v>1170</v>
      </c>
      <c r="C1127">
        <v>1</v>
      </c>
    </row>
    <row r="1128" spans="1:3" x14ac:dyDescent="0.25">
      <c r="A1128">
        <v>1127</v>
      </c>
      <c r="B1128" t="s">
        <v>1171</v>
      </c>
      <c r="C1128">
        <v>1</v>
      </c>
    </row>
    <row r="1129" spans="1:3" x14ac:dyDescent="0.25">
      <c r="A1129">
        <v>1128</v>
      </c>
      <c r="B1129" t="s">
        <v>1172</v>
      </c>
      <c r="C1129">
        <v>3</v>
      </c>
    </row>
    <row r="1130" spans="1:3" x14ac:dyDescent="0.25">
      <c r="A1130">
        <v>1129</v>
      </c>
      <c r="B1130" t="s">
        <v>1173</v>
      </c>
      <c r="C1130">
        <v>1</v>
      </c>
    </row>
    <row r="1131" spans="1:3" x14ac:dyDescent="0.25">
      <c r="A1131">
        <v>1130</v>
      </c>
      <c r="B1131" t="s">
        <v>1174</v>
      </c>
      <c r="C1131">
        <v>1</v>
      </c>
    </row>
    <row r="1132" spans="1:3" x14ac:dyDescent="0.25">
      <c r="A1132">
        <v>1131</v>
      </c>
      <c r="B1132" t="s">
        <v>1175</v>
      </c>
      <c r="C1132">
        <v>1</v>
      </c>
    </row>
    <row r="1133" spans="1:3" x14ac:dyDescent="0.25">
      <c r="A1133">
        <v>1132</v>
      </c>
      <c r="B1133" t="s">
        <v>1176</v>
      </c>
      <c r="C1133">
        <v>2</v>
      </c>
    </row>
    <row r="1134" spans="1:3" x14ac:dyDescent="0.25">
      <c r="A1134">
        <v>1133</v>
      </c>
      <c r="B1134" t="s">
        <v>1177</v>
      </c>
      <c r="C1134">
        <v>1</v>
      </c>
    </row>
    <row r="1135" spans="1:3" x14ac:dyDescent="0.25">
      <c r="A1135">
        <v>1134</v>
      </c>
      <c r="B1135" t="s">
        <v>1178</v>
      </c>
      <c r="C1135">
        <v>1</v>
      </c>
    </row>
    <row r="1136" spans="1:3" x14ac:dyDescent="0.25">
      <c r="A1136">
        <v>1135</v>
      </c>
      <c r="B1136" t="s">
        <v>1179</v>
      </c>
      <c r="C1136">
        <v>1</v>
      </c>
    </row>
    <row r="1137" spans="1:3" x14ac:dyDescent="0.25">
      <c r="A1137">
        <v>1136</v>
      </c>
      <c r="B1137" t="s">
        <v>1180</v>
      </c>
      <c r="C1137">
        <v>6</v>
      </c>
    </row>
    <row r="1138" spans="1:3" x14ac:dyDescent="0.25">
      <c r="A1138">
        <v>1137</v>
      </c>
      <c r="B1138" t="s">
        <v>1181</v>
      </c>
      <c r="C1138">
        <v>1</v>
      </c>
    </row>
    <row r="1139" spans="1:3" x14ac:dyDescent="0.25">
      <c r="A1139">
        <v>1138</v>
      </c>
      <c r="B1139" t="s">
        <v>1182</v>
      </c>
      <c r="C1139">
        <v>1</v>
      </c>
    </row>
    <row r="1140" spans="1:3" x14ac:dyDescent="0.25">
      <c r="A1140">
        <v>1139</v>
      </c>
      <c r="B1140" t="s">
        <v>1183</v>
      </c>
      <c r="C1140">
        <v>1</v>
      </c>
    </row>
    <row r="1141" spans="1:3" x14ac:dyDescent="0.25">
      <c r="A1141">
        <v>1140</v>
      </c>
      <c r="B1141" t="s">
        <v>1184</v>
      </c>
      <c r="C1141">
        <v>3</v>
      </c>
    </row>
    <row r="1142" spans="1:3" x14ac:dyDescent="0.25">
      <c r="A1142">
        <v>1141</v>
      </c>
      <c r="B1142" t="s">
        <v>1185</v>
      </c>
      <c r="C1142">
        <v>5</v>
      </c>
    </row>
    <row r="1143" spans="1:3" x14ac:dyDescent="0.25">
      <c r="A1143">
        <v>1142</v>
      </c>
      <c r="B1143" t="s">
        <v>1186</v>
      </c>
      <c r="C1143">
        <v>1</v>
      </c>
    </row>
    <row r="1144" spans="1:3" x14ac:dyDescent="0.25">
      <c r="A1144">
        <v>1143</v>
      </c>
      <c r="B1144" t="s">
        <v>1187</v>
      </c>
      <c r="C1144">
        <v>1</v>
      </c>
    </row>
    <row r="1145" spans="1:3" x14ac:dyDescent="0.25">
      <c r="A1145">
        <v>1144</v>
      </c>
      <c r="B1145" t="s">
        <v>1188</v>
      </c>
      <c r="C1145">
        <v>4</v>
      </c>
    </row>
    <row r="1146" spans="1:3" x14ac:dyDescent="0.25">
      <c r="A1146">
        <v>1145</v>
      </c>
      <c r="B1146" t="s">
        <v>1189</v>
      </c>
      <c r="C1146">
        <v>1</v>
      </c>
    </row>
    <row r="1147" spans="1:3" x14ac:dyDescent="0.25">
      <c r="A1147">
        <v>1146</v>
      </c>
      <c r="B1147" t="s">
        <v>1190</v>
      </c>
      <c r="C1147">
        <v>1</v>
      </c>
    </row>
    <row r="1148" spans="1:3" x14ac:dyDescent="0.25">
      <c r="A1148">
        <v>1147</v>
      </c>
      <c r="B1148" t="s">
        <v>1191</v>
      </c>
      <c r="C1148">
        <v>1</v>
      </c>
    </row>
    <row r="1149" spans="1:3" x14ac:dyDescent="0.25">
      <c r="A1149">
        <v>1148</v>
      </c>
      <c r="B1149" t="s">
        <v>1192</v>
      </c>
      <c r="C1149">
        <v>1</v>
      </c>
    </row>
    <row r="1150" spans="1:3" x14ac:dyDescent="0.25">
      <c r="A1150">
        <v>1149</v>
      </c>
      <c r="B1150" t="s">
        <v>1193</v>
      </c>
      <c r="C1150">
        <v>1</v>
      </c>
    </row>
    <row r="1151" spans="1:3" x14ac:dyDescent="0.25">
      <c r="A1151">
        <v>1150</v>
      </c>
      <c r="B1151" t="s">
        <v>1194</v>
      </c>
      <c r="C1151">
        <v>1</v>
      </c>
    </row>
    <row r="1152" spans="1:3" x14ac:dyDescent="0.25">
      <c r="A1152">
        <v>1151</v>
      </c>
      <c r="B1152" t="s">
        <v>1195</v>
      </c>
      <c r="C1152">
        <v>4</v>
      </c>
    </row>
    <row r="1153" spans="1:3" x14ac:dyDescent="0.25">
      <c r="A1153">
        <v>1152</v>
      </c>
      <c r="B1153" t="s">
        <v>1196</v>
      </c>
      <c r="C1153">
        <v>5</v>
      </c>
    </row>
    <row r="1154" spans="1:3" x14ac:dyDescent="0.25">
      <c r="A1154">
        <v>1153</v>
      </c>
      <c r="B1154" t="s">
        <v>1197</v>
      </c>
      <c r="C1154">
        <v>1</v>
      </c>
    </row>
    <row r="1155" spans="1:3" x14ac:dyDescent="0.25">
      <c r="A1155">
        <v>1154</v>
      </c>
      <c r="B1155" t="s">
        <v>1198</v>
      </c>
      <c r="C1155">
        <v>2</v>
      </c>
    </row>
    <row r="1156" spans="1:3" x14ac:dyDescent="0.25">
      <c r="A1156">
        <v>1155</v>
      </c>
      <c r="B1156" t="s">
        <v>1199</v>
      </c>
      <c r="C1156">
        <v>4</v>
      </c>
    </row>
    <row r="1157" spans="1:3" x14ac:dyDescent="0.25">
      <c r="A1157">
        <v>1156</v>
      </c>
      <c r="B1157" t="s">
        <v>1200</v>
      </c>
      <c r="C1157">
        <v>1</v>
      </c>
    </row>
    <row r="1158" spans="1:3" x14ac:dyDescent="0.25">
      <c r="A1158">
        <v>1157</v>
      </c>
      <c r="B1158" t="s">
        <v>1201</v>
      </c>
      <c r="C1158">
        <v>3</v>
      </c>
    </row>
    <row r="1159" spans="1:3" x14ac:dyDescent="0.25">
      <c r="A1159">
        <v>1158</v>
      </c>
      <c r="B1159" t="s">
        <v>1202</v>
      </c>
      <c r="C1159">
        <v>2</v>
      </c>
    </row>
    <row r="1160" spans="1:3" x14ac:dyDescent="0.25">
      <c r="A1160">
        <v>1159</v>
      </c>
      <c r="B1160" t="s">
        <v>1203</v>
      </c>
      <c r="C1160">
        <v>5</v>
      </c>
    </row>
    <row r="1161" spans="1:3" x14ac:dyDescent="0.25">
      <c r="A1161">
        <v>1160</v>
      </c>
      <c r="B1161" t="s">
        <v>1204</v>
      </c>
      <c r="C1161">
        <v>2</v>
      </c>
    </row>
    <row r="1162" spans="1:3" x14ac:dyDescent="0.25">
      <c r="A1162">
        <v>1161</v>
      </c>
      <c r="B1162" t="s">
        <v>1205</v>
      </c>
      <c r="C1162">
        <v>1</v>
      </c>
    </row>
    <row r="1163" spans="1:3" x14ac:dyDescent="0.25">
      <c r="A1163">
        <v>1162</v>
      </c>
      <c r="B1163" t="s">
        <v>1206</v>
      </c>
      <c r="C1163">
        <v>2</v>
      </c>
    </row>
    <row r="1164" spans="1:3" x14ac:dyDescent="0.25">
      <c r="A1164">
        <v>1163</v>
      </c>
      <c r="B1164" t="s">
        <v>1207</v>
      </c>
      <c r="C1164">
        <v>5</v>
      </c>
    </row>
    <row r="1165" spans="1:3" x14ac:dyDescent="0.25">
      <c r="A1165">
        <v>1164</v>
      </c>
      <c r="B1165" t="s">
        <v>1208</v>
      </c>
      <c r="C1165">
        <v>1</v>
      </c>
    </row>
    <row r="1166" spans="1:3" x14ac:dyDescent="0.25">
      <c r="A1166">
        <v>1165</v>
      </c>
      <c r="B1166" t="s">
        <v>1209</v>
      </c>
      <c r="C1166">
        <v>1</v>
      </c>
    </row>
    <row r="1167" spans="1:3" x14ac:dyDescent="0.25">
      <c r="A1167">
        <v>1166</v>
      </c>
      <c r="B1167" t="s">
        <v>1210</v>
      </c>
      <c r="C1167">
        <v>2</v>
      </c>
    </row>
    <row r="1168" spans="1:3" x14ac:dyDescent="0.25">
      <c r="A1168">
        <v>1167</v>
      </c>
      <c r="B1168" t="s">
        <v>1211</v>
      </c>
      <c r="C1168">
        <v>2</v>
      </c>
    </row>
    <row r="1169" spans="1:3" x14ac:dyDescent="0.25">
      <c r="A1169">
        <v>1168</v>
      </c>
      <c r="B1169" t="s">
        <v>1212</v>
      </c>
      <c r="C1169">
        <v>5</v>
      </c>
    </row>
    <row r="1170" spans="1:3" x14ac:dyDescent="0.25">
      <c r="A1170">
        <v>1169</v>
      </c>
      <c r="B1170" t="s">
        <v>1213</v>
      </c>
      <c r="C1170">
        <v>5</v>
      </c>
    </row>
    <row r="1171" spans="1:3" x14ac:dyDescent="0.25">
      <c r="A1171">
        <v>1170</v>
      </c>
      <c r="B1171" t="s">
        <v>1214</v>
      </c>
      <c r="C1171">
        <v>1</v>
      </c>
    </row>
    <row r="1172" spans="1:3" x14ac:dyDescent="0.25">
      <c r="A1172">
        <v>1171</v>
      </c>
      <c r="B1172" t="s">
        <v>1215</v>
      </c>
      <c r="C1172">
        <v>2</v>
      </c>
    </row>
    <row r="1173" spans="1:3" x14ac:dyDescent="0.25">
      <c r="A1173">
        <v>1172</v>
      </c>
      <c r="B1173" t="s">
        <v>1216</v>
      </c>
      <c r="C1173">
        <v>6</v>
      </c>
    </row>
    <row r="1174" spans="1:3" x14ac:dyDescent="0.25">
      <c r="A1174">
        <v>1173</v>
      </c>
      <c r="B1174" t="s">
        <v>1217</v>
      </c>
      <c r="C1174">
        <v>1</v>
      </c>
    </row>
    <row r="1175" spans="1:3" x14ac:dyDescent="0.25">
      <c r="A1175">
        <v>1174</v>
      </c>
      <c r="B1175" t="s">
        <v>1218</v>
      </c>
      <c r="C1175">
        <v>1</v>
      </c>
    </row>
    <row r="1176" spans="1:3" x14ac:dyDescent="0.25">
      <c r="A1176">
        <v>1175</v>
      </c>
      <c r="B1176" t="s">
        <v>1219</v>
      </c>
      <c r="C1176">
        <v>3</v>
      </c>
    </row>
    <row r="1177" spans="1:3" x14ac:dyDescent="0.25">
      <c r="A1177">
        <v>1176</v>
      </c>
      <c r="B1177" t="s">
        <v>1220</v>
      </c>
      <c r="C1177">
        <v>1</v>
      </c>
    </row>
    <row r="1178" spans="1:3" x14ac:dyDescent="0.25">
      <c r="A1178">
        <v>1177</v>
      </c>
      <c r="B1178" t="s">
        <v>1221</v>
      </c>
      <c r="C1178">
        <v>1</v>
      </c>
    </row>
    <row r="1179" spans="1:3" x14ac:dyDescent="0.25">
      <c r="A1179">
        <v>1178</v>
      </c>
      <c r="B1179" t="s">
        <v>1222</v>
      </c>
      <c r="C1179">
        <v>1</v>
      </c>
    </row>
    <row r="1180" spans="1:3" x14ac:dyDescent="0.25">
      <c r="A1180">
        <v>1179</v>
      </c>
      <c r="B1180" t="s">
        <v>1223</v>
      </c>
      <c r="C1180">
        <v>1</v>
      </c>
    </row>
    <row r="1181" spans="1:3" x14ac:dyDescent="0.25">
      <c r="A1181">
        <v>1180</v>
      </c>
      <c r="B1181" t="s">
        <v>1224</v>
      </c>
      <c r="C1181">
        <v>4</v>
      </c>
    </row>
    <row r="1182" spans="1:3" x14ac:dyDescent="0.25">
      <c r="A1182">
        <v>1181</v>
      </c>
      <c r="B1182" t="s">
        <v>1225</v>
      </c>
      <c r="C1182">
        <v>1</v>
      </c>
    </row>
    <row r="1183" spans="1:3" x14ac:dyDescent="0.25">
      <c r="A1183">
        <v>1182</v>
      </c>
      <c r="B1183" t="s">
        <v>1226</v>
      </c>
      <c r="C1183">
        <v>1</v>
      </c>
    </row>
    <row r="1184" spans="1:3" x14ac:dyDescent="0.25">
      <c r="A1184">
        <v>1183</v>
      </c>
      <c r="B1184" t="s">
        <v>1227</v>
      </c>
      <c r="C1184">
        <v>1</v>
      </c>
    </row>
    <row r="1185" spans="1:3" x14ac:dyDescent="0.25">
      <c r="A1185">
        <v>1184</v>
      </c>
      <c r="B1185" t="s">
        <v>1228</v>
      </c>
      <c r="C1185">
        <v>5</v>
      </c>
    </row>
    <row r="1186" spans="1:3" x14ac:dyDescent="0.25">
      <c r="A1186">
        <v>1185</v>
      </c>
      <c r="B1186" t="s">
        <v>1229</v>
      </c>
      <c r="C1186">
        <v>1</v>
      </c>
    </row>
    <row r="1187" spans="1:3" x14ac:dyDescent="0.25">
      <c r="A1187">
        <v>1186</v>
      </c>
      <c r="B1187" t="s">
        <v>1230</v>
      </c>
      <c r="C1187">
        <v>1</v>
      </c>
    </row>
    <row r="1188" spans="1:3" x14ac:dyDescent="0.25">
      <c r="A1188">
        <v>1187</v>
      </c>
      <c r="B1188" t="s">
        <v>1231</v>
      </c>
      <c r="C1188">
        <v>5</v>
      </c>
    </row>
    <row r="1189" spans="1:3" x14ac:dyDescent="0.25">
      <c r="A1189">
        <v>1188</v>
      </c>
      <c r="B1189" t="s">
        <v>1232</v>
      </c>
      <c r="C1189">
        <v>1</v>
      </c>
    </row>
    <row r="1190" spans="1:3" x14ac:dyDescent="0.25">
      <c r="A1190">
        <v>1189</v>
      </c>
      <c r="B1190" t="s">
        <v>1233</v>
      </c>
      <c r="C1190">
        <v>4</v>
      </c>
    </row>
    <row r="1191" spans="1:3" x14ac:dyDescent="0.25">
      <c r="A1191">
        <v>1190</v>
      </c>
      <c r="B1191" t="s">
        <v>1234</v>
      </c>
      <c r="C1191">
        <v>1</v>
      </c>
    </row>
    <row r="1192" spans="1:3" x14ac:dyDescent="0.25">
      <c r="A1192">
        <v>1191</v>
      </c>
      <c r="B1192" t="s">
        <v>1235</v>
      </c>
      <c r="C1192">
        <v>5</v>
      </c>
    </row>
    <row r="1193" spans="1:3" x14ac:dyDescent="0.25">
      <c r="A1193">
        <v>1192</v>
      </c>
      <c r="B1193" t="s">
        <v>1236</v>
      </c>
      <c r="C1193">
        <v>1</v>
      </c>
    </row>
    <row r="1194" spans="1:3" x14ac:dyDescent="0.25">
      <c r="A1194">
        <v>1193</v>
      </c>
      <c r="B1194" t="s">
        <v>1237</v>
      </c>
      <c r="C1194">
        <v>1</v>
      </c>
    </row>
    <row r="1195" spans="1:3" x14ac:dyDescent="0.25">
      <c r="A1195">
        <v>1194</v>
      </c>
      <c r="B1195" t="s">
        <v>1238</v>
      </c>
      <c r="C1195">
        <v>2</v>
      </c>
    </row>
    <row r="1196" spans="1:3" x14ac:dyDescent="0.25">
      <c r="A1196">
        <v>1195</v>
      </c>
      <c r="B1196" t="s">
        <v>1239</v>
      </c>
      <c r="C1196">
        <v>1</v>
      </c>
    </row>
    <row r="1197" spans="1:3" x14ac:dyDescent="0.25">
      <c r="A1197">
        <v>1196</v>
      </c>
      <c r="B1197" t="s">
        <v>1240</v>
      </c>
      <c r="C1197">
        <v>3</v>
      </c>
    </row>
  </sheetData>
  <autoFilter ref="A1:C1197"/>
  <mergeCells count="3">
    <mergeCell ref="E1:K1"/>
    <mergeCell ref="E2:G2"/>
    <mergeCell ref="H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Actividad</vt:lpstr>
      <vt:lpstr>MATRIZ</vt:lpstr>
      <vt:lpstr>MAS</vt:lpstr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laboratorio_computo</dc:creator>
  <cp:lastModifiedBy>Laboratorio cómputo</cp:lastModifiedBy>
  <dcterms:created xsi:type="dcterms:W3CDTF">2024-03-25T13:17:08Z</dcterms:created>
  <dcterms:modified xsi:type="dcterms:W3CDTF">2025-04-08T01:58:50Z</dcterms:modified>
</cp:coreProperties>
</file>