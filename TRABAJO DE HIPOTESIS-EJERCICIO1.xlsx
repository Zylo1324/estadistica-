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adistica Inferencial\"/>
    </mc:Choice>
  </mc:AlternateContent>
  <xr:revisionPtr revIDLastSave="0" documentId="13_ncr:1_{14C1DBEB-05E4-4B68-9AD5-B6A8B5326059}" xr6:coauthVersionLast="47" xr6:coauthVersionMax="47" xr10:uidLastSave="{00000000-0000-0000-0000-000000000000}"/>
  <bookViews>
    <workbookView xWindow="-120" yWindow="-120" windowWidth="29040" windowHeight="16440" xr2:uid="{89F11418-AC40-48D9-ACD2-7188363C0EA0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1" l="1"/>
  <c r="T19" i="1"/>
  <c r="T21" i="1"/>
  <c r="T20" i="1"/>
  <c r="E29" i="1"/>
  <c r="H22" i="1"/>
  <c r="H19" i="1"/>
</calcChain>
</file>

<file path=xl/sharedStrings.xml><?xml version="1.0" encoding="utf-8"?>
<sst xmlns="http://schemas.openxmlformats.org/spreadsheetml/2006/main" count="31" uniqueCount="31">
  <si>
    <t>Hipotesis</t>
  </si>
  <si>
    <t>H1:</t>
  </si>
  <si>
    <t>µ ≤ 650</t>
  </si>
  <si>
    <t>µ&gt;650</t>
  </si>
  <si>
    <t>Nivel de significacia:</t>
  </si>
  <si>
    <t>α</t>
  </si>
  <si>
    <t>Estadistico:</t>
  </si>
  <si>
    <t>Zc=</t>
  </si>
  <si>
    <r>
      <rPr>
        <sz val="11"/>
        <color theme="1"/>
        <rFont val="MS Reference Sans Serif"/>
        <family val="2"/>
      </rPr>
      <t></t>
    </r>
    <r>
      <rPr>
        <sz val="11"/>
        <color theme="1"/>
        <rFont val="Calibri"/>
        <family val="2"/>
      </rPr>
      <t>=</t>
    </r>
  </si>
  <si>
    <t>µ0</t>
  </si>
  <si>
    <t>σ=</t>
  </si>
  <si>
    <t>n=</t>
  </si>
  <si>
    <t>DATOS:</t>
  </si>
  <si>
    <r>
      <t>H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:</t>
    </r>
  </si>
  <si>
    <t>Decisión:</t>
  </si>
  <si>
    <t>No rechazar Ho.</t>
  </si>
  <si>
    <t>Zt=</t>
  </si>
  <si>
    <t>p-valor=</t>
  </si>
  <si>
    <r>
      <t>Si p valor es menor o igual que alfa, entonces rechazamos H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</t>
    </r>
  </si>
  <si>
    <t>Clonclusión:</t>
  </si>
  <si>
    <r>
      <t xml:space="preserve">El salario básico mensual promedio de los trabajadores no calificados de esta
empresa </t>
    </r>
    <r>
      <rPr>
        <b/>
        <sz val="11"/>
        <color rgb="FFFF0000"/>
        <rFont val="Calibri"/>
        <family val="2"/>
        <scheme val="minor"/>
      </rPr>
      <t>NO es</t>
    </r>
    <r>
      <rPr>
        <sz val="11"/>
        <color theme="1"/>
        <rFont val="Calibri"/>
        <family val="2"/>
        <scheme val="minor"/>
      </rPr>
      <t xml:space="preserve"> mayor a los $650 mensuales, con una significancia de 0.05</t>
    </r>
  </si>
  <si>
    <t>A)Prueba de hipotesis</t>
  </si>
  <si>
    <t>B) intervalo de confianza:</t>
  </si>
  <si>
    <t>Error:</t>
  </si>
  <si>
    <t>E=</t>
  </si>
  <si>
    <t>Limite Inferior:</t>
  </si>
  <si>
    <t>Limite Superior:</t>
  </si>
  <si>
    <t>LI=</t>
  </si>
  <si>
    <t>LS=</t>
  </si>
  <si>
    <t>Interpretación:</t>
  </si>
  <si>
    <t>El verdadero salario basico mensual promedio de los trabajadores no calificados de esta
empresa se encuetra entre $572.28 y $627.72 mensuales, con una confianza de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</si>
</sst>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MS Reference Sans Serif"/>
      <family val="2"/>
    </font>
    <font>
      <vertAlign val="sub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182449</xdr:colOff>
      <xdr:row>13</xdr:row>
      <xdr:rowOff>105135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0EF3EF-4993-4985-9A9B-0E90F35F0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64699" cy="2581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48B0-E05A-4B50-B49D-4DF4520CB6B2}">
  <dimension ref="B16:Y36"/>
  <sheetViews>
    <sheetView tabSelected="1" workbookViewId="0">
      <selection activeCell="N35" sqref="N35"/>
    </sheetView>
  </sheetViews>
  <sheetFormatPr baseColWidth="10" defaultRowHeight="15" x14ac:dyDescent="0.25"/>
  <cols>
    <col min="5" max="5" width="18.5703125" customWidth="1"/>
    <col min="18" max="18" width="15.42578125" customWidth="1"/>
  </cols>
  <sheetData>
    <row r="16" spans="2:16" x14ac:dyDescent="0.25">
      <c r="B16" t="s">
        <v>21</v>
      </c>
      <c r="P16" t="s">
        <v>22</v>
      </c>
    </row>
    <row r="18" spans="3:25" x14ac:dyDescent="0.25">
      <c r="C18" s="1" t="s">
        <v>0</v>
      </c>
      <c r="D18" s="1"/>
      <c r="E18" s="1"/>
      <c r="G18" s="1" t="s">
        <v>14</v>
      </c>
      <c r="H18" s="1"/>
    </row>
    <row r="19" spans="3:25" ht="18" x14ac:dyDescent="0.35">
      <c r="C19" s="1"/>
      <c r="D19" s="1" t="s">
        <v>13</v>
      </c>
      <c r="E19" s="2" t="s">
        <v>2</v>
      </c>
      <c r="G19" s="1" t="s">
        <v>16</v>
      </c>
      <c r="H19" s="1">
        <f>_xlfn.NORM.S.INV(1-E24)</f>
        <v>1.6448536269514715</v>
      </c>
      <c r="R19" s="1" t="s">
        <v>23</v>
      </c>
      <c r="S19" s="1" t="s">
        <v>24</v>
      </c>
      <c r="T19" s="1">
        <f>_xlfn.NORM.S.INV(1-E24/2)*E35/SQRT(E36)</f>
        <v>27.718076486993549</v>
      </c>
    </row>
    <row r="20" spans="3:25" x14ac:dyDescent="0.25">
      <c r="C20" s="1"/>
      <c r="D20" s="1" t="s">
        <v>1</v>
      </c>
      <c r="E20" s="2" t="s">
        <v>3</v>
      </c>
      <c r="H20" t="s">
        <v>15</v>
      </c>
      <c r="R20" s="1" t="s">
        <v>25</v>
      </c>
      <c r="S20" s="1" t="s">
        <v>27</v>
      </c>
      <c r="T20" s="1">
        <f>E33-T19</f>
        <v>572.2819235130064</v>
      </c>
    </row>
    <row r="21" spans="3:25" x14ac:dyDescent="0.25">
      <c r="R21" s="1" t="s">
        <v>26</v>
      </c>
      <c r="S21" s="1" t="s">
        <v>28</v>
      </c>
      <c r="T21" s="1">
        <f>E33+T19</f>
        <v>627.7180764869936</v>
      </c>
    </row>
    <row r="22" spans="3:25" x14ac:dyDescent="0.25">
      <c r="G22" s="1" t="s">
        <v>17</v>
      </c>
      <c r="H22" s="1">
        <f>1-_xlfn.NORM.S.DIST(E29,1)</f>
        <v>0.9997965239912775</v>
      </c>
    </row>
    <row r="23" spans="3:25" x14ac:dyDescent="0.25">
      <c r="C23" s="1" t="s">
        <v>4</v>
      </c>
      <c r="D23" s="1"/>
      <c r="E23" s="1"/>
    </row>
    <row r="24" spans="3:25" ht="18" x14ac:dyDescent="0.35">
      <c r="C24" s="1"/>
      <c r="D24" s="2" t="s">
        <v>5</v>
      </c>
      <c r="E24" s="1">
        <v>0.05</v>
      </c>
      <c r="G24" t="s">
        <v>18</v>
      </c>
    </row>
    <row r="25" spans="3:25" ht="15" customHeight="1" x14ac:dyDescent="0.25">
      <c r="R25" s="3" t="s">
        <v>29</v>
      </c>
      <c r="S25" s="6" t="s">
        <v>30</v>
      </c>
      <c r="T25" s="6"/>
      <c r="U25" s="6"/>
      <c r="V25" s="6"/>
      <c r="W25" s="6"/>
      <c r="X25" s="6"/>
      <c r="Y25" s="6"/>
    </row>
    <row r="26" spans="3:25" x14ac:dyDescent="0.25">
      <c r="S26" s="6"/>
      <c r="T26" s="6"/>
      <c r="U26" s="6"/>
      <c r="V26" s="6"/>
      <c r="W26" s="6"/>
      <c r="X26" s="6"/>
      <c r="Y26" s="6"/>
    </row>
    <row r="27" spans="3:25" x14ac:dyDescent="0.25">
      <c r="G27" s="1" t="s">
        <v>19</v>
      </c>
      <c r="H27" s="4" t="s">
        <v>20</v>
      </c>
      <c r="I27" s="5"/>
      <c r="J27" s="5"/>
      <c r="K27" s="5"/>
      <c r="L27" s="5"/>
      <c r="M27" s="5"/>
      <c r="S27" s="6"/>
      <c r="T27" s="6"/>
      <c r="U27" s="6"/>
      <c r="V27" s="6"/>
      <c r="W27" s="6"/>
      <c r="X27" s="6"/>
      <c r="Y27" s="6"/>
    </row>
    <row r="28" spans="3:25" x14ac:dyDescent="0.25">
      <c r="C28" s="1" t="s">
        <v>6</v>
      </c>
      <c r="D28" s="1"/>
      <c r="E28" s="1"/>
      <c r="G28" s="1"/>
      <c r="H28" s="5"/>
      <c r="I28" s="5"/>
      <c r="J28" s="5"/>
      <c r="K28" s="5"/>
      <c r="L28" s="5"/>
      <c r="M28" s="5"/>
      <c r="S28" s="6"/>
      <c r="T28" s="6"/>
      <c r="U28" s="6"/>
      <c r="V28" s="6"/>
      <c r="W28" s="6"/>
      <c r="X28" s="6"/>
      <c r="Y28" s="6"/>
    </row>
    <row r="29" spans="3:25" x14ac:dyDescent="0.25">
      <c r="C29" s="1"/>
      <c r="D29" s="1" t="s">
        <v>7</v>
      </c>
      <c r="E29" s="1">
        <f>(E33-E34)/(E35/SQRT(E36))</f>
        <v>-3.5355339059327378</v>
      </c>
      <c r="G29" s="1"/>
      <c r="H29" s="5"/>
      <c r="I29" s="5"/>
      <c r="J29" s="5"/>
      <c r="K29" s="5"/>
      <c r="L29" s="5"/>
      <c r="M29" s="5"/>
    </row>
    <row r="30" spans="3:25" x14ac:dyDescent="0.25">
      <c r="G30" s="1"/>
      <c r="H30" s="5"/>
      <c r="I30" s="5"/>
      <c r="J30" s="5"/>
      <c r="K30" s="5"/>
      <c r="L30" s="5"/>
      <c r="M30" s="5"/>
    </row>
    <row r="32" spans="3:25" x14ac:dyDescent="0.25">
      <c r="C32" s="1" t="s">
        <v>12</v>
      </c>
      <c r="D32" s="1"/>
      <c r="E32" s="1"/>
    </row>
    <row r="33" spans="3:5" x14ac:dyDescent="0.25">
      <c r="C33" s="1"/>
      <c r="D33" s="2" t="s">
        <v>8</v>
      </c>
      <c r="E33" s="1">
        <v>600</v>
      </c>
    </row>
    <row r="34" spans="3:5" x14ac:dyDescent="0.25">
      <c r="C34" s="1"/>
      <c r="D34" s="2" t="s">
        <v>9</v>
      </c>
      <c r="E34" s="1">
        <v>650</v>
      </c>
    </row>
    <row r="35" spans="3:5" x14ac:dyDescent="0.25">
      <c r="C35" s="1"/>
      <c r="D35" s="2" t="s">
        <v>10</v>
      </c>
      <c r="E35" s="1">
        <f>SQRT(10000)</f>
        <v>100</v>
      </c>
    </row>
    <row r="36" spans="3:5" x14ac:dyDescent="0.25">
      <c r="C36" s="1"/>
      <c r="D36" s="2" t="s">
        <v>11</v>
      </c>
      <c r="E36" s="1">
        <v>50</v>
      </c>
    </row>
  </sheetData>
  <mergeCells count="2">
    <mergeCell ref="H27:M30"/>
    <mergeCell ref="S25:Y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cómputo</dc:creator>
  <cp:lastModifiedBy>USER</cp:lastModifiedBy>
  <dcterms:created xsi:type="dcterms:W3CDTF">2026-04-27T23:15:20Z</dcterms:created>
  <dcterms:modified xsi:type="dcterms:W3CDTF">2026-05-02T00:15:13Z</dcterms:modified>
</cp:coreProperties>
</file>